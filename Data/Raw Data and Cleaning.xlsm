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ranspose365-my.sharepoint.com/personal/mark_edward_transpose_net/Documents/Documents/Data Science Projects/ChampionshipRecordPace/Data/"/>
    </mc:Choice>
  </mc:AlternateContent>
  <xr:revisionPtr revIDLastSave="0" documentId="8_{44121A7C-6214-4D01-98D7-D1C8057AC0A9}" xr6:coauthVersionLast="47" xr6:coauthVersionMax="47" xr10:uidLastSave="{00000000-0000-0000-0000-000000000000}"/>
  <bookViews>
    <workbookView xWindow="23850" yWindow="2610" windowWidth="22350" windowHeight="17865" activeTab="3" xr2:uid="{8F3B3422-CF10-4A33-85D1-2F80BF540974}"/>
  </bookViews>
  <sheets>
    <sheet name="Reading Raw Data" sheetId="1" r:id="rId1"/>
    <sheet name="Reading Results Clean" sheetId="2" r:id="rId2"/>
    <sheet name="Leicester Raw Data" sheetId="3" r:id="rId3"/>
    <sheet name="Leicester Results Clea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K5" i="1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1" i="3"/>
  <c r="L5" i="1"/>
  <c r="K44" i="1"/>
  <c r="K45" i="1"/>
  <c r="K46" i="1"/>
  <c r="K47" i="1"/>
  <c r="K48" i="1"/>
  <c r="K49" i="1"/>
  <c r="K50" i="1"/>
  <c r="K36" i="1"/>
  <c r="K37" i="1"/>
  <c r="K38" i="1"/>
  <c r="K39" i="1"/>
  <c r="K40" i="1"/>
  <c r="K41" i="1"/>
  <c r="K42" i="1"/>
  <c r="K43" i="1"/>
  <c r="K30" i="1"/>
  <c r="K31" i="1"/>
  <c r="K32" i="1"/>
  <c r="K33" i="1"/>
  <c r="K34" i="1"/>
  <c r="K35" i="1"/>
  <c r="K22" i="1"/>
  <c r="K23" i="1"/>
  <c r="K24" i="1"/>
  <c r="K25" i="1"/>
  <c r="K26" i="1"/>
  <c r="K27" i="1"/>
  <c r="K28" i="1"/>
  <c r="K29" i="1"/>
  <c r="K14" i="1"/>
  <c r="K15" i="1"/>
  <c r="K16" i="1"/>
  <c r="K17" i="1"/>
  <c r="K18" i="1"/>
  <c r="K19" i="1"/>
  <c r="K20" i="1"/>
  <c r="K21" i="1"/>
  <c r="K6" i="1"/>
  <c r="K7" i="1"/>
  <c r="K8" i="1"/>
  <c r="K9" i="1"/>
  <c r="K10" i="1"/>
  <c r="K11" i="1"/>
  <c r="K12" i="1"/>
  <c r="K13" i="1"/>
  <c r="L45" i="1"/>
  <c r="L46" i="1"/>
  <c r="L47" i="1"/>
  <c r="L48" i="1"/>
  <c r="L49" i="1"/>
  <c r="L50" i="1"/>
  <c r="L36" i="1"/>
  <c r="L37" i="1"/>
  <c r="L38" i="1"/>
  <c r="L39" i="1"/>
  <c r="L40" i="1"/>
  <c r="L41" i="1"/>
  <c r="L42" i="1"/>
  <c r="L43" i="1"/>
  <c r="L44" i="1"/>
  <c r="L28" i="1"/>
  <c r="L29" i="1"/>
  <c r="L30" i="1"/>
  <c r="L31" i="1"/>
  <c r="L32" i="1"/>
  <c r="L33" i="1"/>
  <c r="L34" i="1"/>
  <c r="L35" i="1"/>
  <c r="L19" i="1"/>
  <c r="L20" i="1"/>
  <c r="L21" i="1"/>
  <c r="L22" i="1"/>
  <c r="L23" i="1"/>
  <c r="L24" i="1"/>
  <c r="L25" i="1"/>
  <c r="L26" i="1"/>
  <c r="L27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N5" i="1"/>
  <c r="N7" i="1"/>
  <c r="N8" i="1"/>
  <c r="N9" i="1"/>
  <c r="N6" i="1"/>
  <c r="N11" i="1"/>
  <c r="N13" i="1"/>
  <c r="N12" i="1"/>
  <c r="N10" i="1"/>
</calcChain>
</file>

<file path=xl/sharedStrings.xml><?xml version="1.0" encoding="utf-8"?>
<sst xmlns="http://schemas.openxmlformats.org/spreadsheetml/2006/main" count="463" uniqueCount="252">
  <si>
    <t>Results[edit]</t>
  </si>
  <si>
    <r>
      <t>6 August 2005</t>
    </r>
    <r>
      <rPr>
        <sz val="9"/>
        <color theme="1"/>
        <rFont val="Arial"/>
        <family val="2"/>
      </rPr>
      <t>1</t>
    </r>
  </si>
  <si>
    <t>Reading</t>
  </si>
  <si>
    <t>1–2</t>
  </si>
  <si>
    <t>Plymouth Argyle</t>
  </si>
  <si>
    <t>showMadejski Stadium</t>
  </si>
  <si>
    <r>
      <t>9 August 2005</t>
    </r>
    <r>
      <rPr>
        <sz val="9"/>
        <color theme="1"/>
        <rFont val="Arial"/>
        <family val="2"/>
      </rPr>
      <t>2</t>
    </r>
  </si>
  <si>
    <t>Brighton &amp; Hove Albion</t>
  </si>
  <si>
    <t>0–2</t>
  </si>
  <si>
    <t>showWithdean Stadium</t>
  </si>
  <si>
    <r>
      <t>13 August 2005</t>
    </r>
    <r>
      <rPr>
        <sz val="9"/>
        <color theme="1"/>
        <rFont val="Arial"/>
        <family val="2"/>
      </rPr>
      <t>3</t>
    </r>
  </si>
  <si>
    <t>Preston North End</t>
  </si>
  <si>
    <t>0–3</t>
  </si>
  <si>
    <t>showDeepdale</t>
  </si>
  <si>
    <r>
      <t>20 August 2005</t>
    </r>
    <r>
      <rPr>
        <sz val="9"/>
        <color theme="1"/>
        <rFont val="Arial"/>
        <family val="2"/>
      </rPr>
      <t>4</t>
    </r>
  </si>
  <si>
    <t>5–0</t>
  </si>
  <si>
    <t>Millwall</t>
  </si>
  <si>
    <r>
      <t>27 August 2005</t>
    </r>
    <r>
      <rPr>
        <sz val="9"/>
        <color theme="1"/>
        <rFont val="Arial"/>
        <family val="2"/>
      </rPr>
      <t>5</t>
    </r>
  </si>
  <si>
    <t>Watford</t>
  </si>
  <si>
    <t>0–0</t>
  </si>
  <si>
    <t>showVicarage Road</t>
  </si>
  <si>
    <r>
      <t>29 August 2005</t>
    </r>
    <r>
      <rPr>
        <sz val="9"/>
        <color theme="1"/>
        <rFont val="Arial"/>
        <family val="2"/>
      </rPr>
      <t>6</t>
    </r>
  </si>
  <si>
    <t>2–1</t>
  </si>
  <si>
    <t>Burnley</t>
  </si>
  <si>
    <r>
      <t>10 September 2005</t>
    </r>
    <r>
      <rPr>
        <sz val="9"/>
        <color theme="1"/>
        <rFont val="Arial"/>
        <family val="2"/>
      </rPr>
      <t>7</t>
    </r>
  </si>
  <si>
    <t>Coventry City</t>
  </si>
  <si>
    <t>1–1</t>
  </si>
  <si>
    <t>showRicoh Arena</t>
  </si>
  <si>
    <r>
      <t>13 September 2005</t>
    </r>
    <r>
      <rPr>
        <sz val="9"/>
        <color theme="1"/>
        <rFont val="Arial"/>
        <family val="2"/>
      </rPr>
      <t>8</t>
    </r>
  </si>
  <si>
    <t>3–2</t>
  </si>
  <si>
    <t>Crystal Palace</t>
  </si>
  <si>
    <r>
      <t>17 September 2005</t>
    </r>
    <r>
      <rPr>
        <sz val="9"/>
        <color theme="1"/>
        <rFont val="Arial"/>
        <family val="2"/>
      </rPr>
      <t>9</t>
    </r>
  </si>
  <si>
    <t>1–0</t>
  </si>
  <si>
    <t>Crewe Alexandra</t>
  </si>
  <si>
    <r>
      <t>24 September 2005</t>
    </r>
    <r>
      <rPr>
        <sz val="9"/>
        <color theme="1"/>
        <rFont val="Arial"/>
        <family val="2"/>
      </rPr>
      <t>10</t>
    </r>
  </si>
  <si>
    <t>Norwich City</t>
  </si>
  <si>
    <t>0–1</t>
  </si>
  <si>
    <t>showCarrow Road</t>
  </si>
  <si>
    <r>
      <t>28 September 2005</t>
    </r>
    <r>
      <rPr>
        <sz val="9"/>
        <color theme="1"/>
        <rFont val="Arial"/>
        <family val="2"/>
      </rPr>
      <t>11</t>
    </r>
  </si>
  <si>
    <t>Southampton</t>
  </si>
  <si>
    <t>showSt Mary's</t>
  </si>
  <si>
    <r>
      <t>1 October 2005</t>
    </r>
    <r>
      <rPr>
        <sz val="9"/>
        <color theme="1"/>
        <rFont val="Arial"/>
        <family val="2"/>
      </rPr>
      <t>12</t>
    </r>
  </si>
  <si>
    <t>Sheffield United</t>
  </si>
  <si>
    <r>
      <t>16 October 2005</t>
    </r>
    <r>
      <rPr>
        <sz val="9"/>
        <color theme="1"/>
        <rFont val="Arial"/>
        <family val="2"/>
      </rPr>
      <t>13</t>
    </r>
  </si>
  <si>
    <t>2–0</t>
  </si>
  <si>
    <t>Ipswich Town</t>
  </si>
  <si>
    <r>
      <t>18 October 2005</t>
    </r>
    <r>
      <rPr>
        <sz val="9"/>
        <color theme="1"/>
        <rFont val="Arial"/>
        <family val="2"/>
      </rPr>
      <t>14</t>
    </r>
  </si>
  <si>
    <t>Hull City</t>
  </si>
  <si>
    <t>showKC Stadium</t>
  </si>
  <si>
    <r>
      <t>22 October 2005</t>
    </r>
    <r>
      <rPr>
        <sz val="9"/>
        <color theme="1"/>
        <rFont val="Arial"/>
        <family val="2"/>
      </rPr>
      <t>15</t>
    </r>
  </si>
  <si>
    <t>Stoke City</t>
  </si>
  <si>
    <t>showBritannia Stadium</t>
  </si>
  <si>
    <r>
      <t>29 October 2005</t>
    </r>
    <r>
      <rPr>
        <sz val="9"/>
        <color theme="1"/>
        <rFont val="Arial"/>
        <family val="2"/>
      </rPr>
      <t>16</t>
    </r>
  </si>
  <si>
    <t>Leeds United</t>
  </si>
  <si>
    <r>
      <t>1 November 2005</t>
    </r>
    <r>
      <rPr>
        <sz val="9"/>
        <color theme="1"/>
        <rFont val="Arial"/>
        <family val="2"/>
      </rPr>
      <t>17</t>
    </r>
  </si>
  <si>
    <t>Sheffield Wednesday</t>
  </si>
  <si>
    <r>
      <t>5 November 2005</t>
    </r>
    <r>
      <rPr>
        <sz val="9"/>
        <color theme="1"/>
        <rFont val="Arial"/>
        <family val="2"/>
      </rPr>
      <t>18</t>
    </r>
  </si>
  <si>
    <t>Queens Park Rangers</t>
  </si>
  <si>
    <t>showLoftus Road</t>
  </si>
  <si>
    <r>
      <t>19 November 2005</t>
    </r>
    <r>
      <rPr>
        <sz val="9"/>
        <color theme="1"/>
        <rFont val="Arial"/>
        <family val="2"/>
      </rPr>
      <t>19</t>
    </r>
  </si>
  <si>
    <t>3–1</t>
  </si>
  <si>
    <r>
      <t>22 November 2005</t>
    </r>
    <r>
      <rPr>
        <sz val="9"/>
        <color theme="1"/>
        <rFont val="Arial"/>
        <family val="2"/>
      </rPr>
      <t>20</t>
    </r>
  </si>
  <si>
    <t>showPortman Road</t>
  </si>
  <si>
    <r>
      <t>26 November 2005</t>
    </r>
    <r>
      <rPr>
        <sz val="9"/>
        <color theme="1"/>
        <rFont val="Arial"/>
        <family val="2"/>
      </rPr>
      <t>21</t>
    </r>
  </si>
  <si>
    <t>showHome Park</t>
  </si>
  <si>
    <r>
      <t>3 December 2005</t>
    </r>
    <r>
      <rPr>
        <sz val="9"/>
        <color theme="1"/>
        <rFont val="Arial"/>
        <family val="2"/>
      </rPr>
      <t>22</t>
    </r>
  </si>
  <si>
    <t>3–0</t>
  </si>
  <si>
    <t>Luton Town</t>
  </si>
  <si>
    <r>
      <t>10 December 2005</t>
    </r>
    <r>
      <rPr>
        <sz val="9"/>
        <color theme="1"/>
        <rFont val="Arial"/>
        <family val="2"/>
      </rPr>
      <t>23</t>
    </r>
  </si>
  <si>
    <t>5–1</t>
  </si>
  <si>
    <r>
      <t>17 December 2005</t>
    </r>
    <r>
      <rPr>
        <sz val="9"/>
        <color theme="1"/>
        <rFont val="Arial"/>
        <family val="2"/>
      </rPr>
      <t>24</t>
    </r>
  </si>
  <si>
    <t>showThe Den</t>
  </si>
  <si>
    <r>
      <t>26 December 2005</t>
    </r>
    <r>
      <rPr>
        <sz val="9"/>
        <color theme="1"/>
        <rFont val="Arial"/>
        <family val="2"/>
      </rPr>
      <t>25</t>
    </r>
  </si>
  <si>
    <t>Wolverhampton Wanderers</t>
  </si>
  <si>
    <t>showMolineux</t>
  </si>
  <si>
    <r>
      <t>28 December 2005</t>
    </r>
    <r>
      <rPr>
        <sz val="9"/>
        <color theme="1"/>
        <rFont val="Arial"/>
        <family val="2"/>
      </rPr>
      <t>26</t>
    </r>
  </si>
  <si>
    <t>Leicester City</t>
  </si>
  <si>
    <r>
      <t>31 December 2005</t>
    </r>
    <r>
      <rPr>
        <sz val="9"/>
        <color theme="1"/>
        <rFont val="Arial"/>
        <family val="2"/>
      </rPr>
      <t>27</t>
    </r>
  </si>
  <si>
    <t>Derby County</t>
  </si>
  <si>
    <t>2–2</t>
  </si>
  <si>
    <t>showPride Park</t>
  </si>
  <si>
    <r>
      <t>2 January 2006</t>
    </r>
    <r>
      <rPr>
        <sz val="9"/>
        <color theme="1"/>
        <rFont val="Arial"/>
        <family val="2"/>
      </rPr>
      <t>28</t>
    </r>
  </si>
  <si>
    <t>Cardiff City</t>
  </si>
  <si>
    <r>
      <t>14 January 2006</t>
    </r>
    <r>
      <rPr>
        <sz val="9"/>
        <color theme="1"/>
        <rFont val="Arial"/>
        <family val="2"/>
      </rPr>
      <t>29</t>
    </r>
  </si>
  <si>
    <r>
      <t>20 January 2006</t>
    </r>
    <r>
      <rPr>
        <sz val="9"/>
        <color theme="1"/>
        <rFont val="Arial"/>
        <family val="2"/>
      </rPr>
      <t>30</t>
    </r>
  </si>
  <si>
    <t>showSelhurst Park</t>
  </si>
  <si>
    <r>
      <t>31 January 2006</t>
    </r>
    <r>
      <rPr>
        <sz val="9"/>
        <color theme="1"/>
        <rFont val="Arial"/>
        <family val="2"/>
      </rPr>
      <t>31</t>
    </r>
  </si>
  <si>
    <t>4–0</t>
  </si>
  <si>
    <r>
      <t>4 February 2006</t>
    </r>
    <r>
      <rPr>
        <sz val="9"/>
        <color theme="1"/>
        <rFont val="Arial"/>
        <family val="2"/>
      </rPr>
      <t>32</t>
    </r>
  </si>
  <si>
    <t>3–4</t>
  </si>
  <si>
    <t>showAlexandra Stadium</t>
  </si>
  <si>
    <r>
      <t>10 February 2006</t>
    </r>
    <r>
      <rPr>
        <sz val="9"/>
        <color theme="1"/>
        <rFont val="Arial"/>
        <family val="2"/>
      </rPr>
      <t>33</t>
    </r>
  </si>
  <si>
    <r>
      <t>14 February 2006</t>
    </r>
    <r>
      <rPr>
        <sz val="9"/>
        <color theme="1"/>
        <rFont val="Arial"/>
        <family val="2"/>
      </rPr>
      <t>34</t>
    </r>
  </si>
  <si>
    <t>showBramall Lane</t>
  </si>
  <si>
    <r>
      <t>17 February 2006</t>
    </r>
    <r>
      <rPr>
        <sz val="9"/>
        <color theme="1"/>
        <rFont val="Arial"/>
        <family val="2"/>
      </rPr>
      <t>35</t>
    </r>
  </si>
  <si>
    <t>showKenilworth Road</t>
  </si>
  <si>
    <r>
      <t>25 February 2006</t>
    </r>
    <r>
      <rPr>
        <sz val="9"/>
        <color theme="1"/>
        <rFont val="Arial"/>
        <family val="2"/>
      </rPr>
      <t>36</t>
    </r>
  </si>
  <si>
    <r>
      <t>4 March 2006</t>
    </r>
    <r>
      <rPr>
        <sz val="9"/>
        <color theme="1"/>
        <rFont val="Arial"/>
        <family val="2"/>
      </rPr>
      <t>37</t>
    </r>
  </si>
  <si>
    <t>showTurf Moor</t>
  </si>
  <si>
    <r>
      <t>11 March 2006</t>
    </r>
    <r>
      <rPr>
        <sz val="9"/>
        <color theme="1"/>
        <rFont val="Arial"/>
        <family val="2"/>
      </rPr>
      <t>38</t>
    </r>
  </si>
  <si>
    <r>
      <t>18 March 2006</t>
    </r>
    <r>
      <rPr>
        <sz val="9"/>
        <color theme="1"/>
        <rFont val="Arial"/>
        <family val="2"/>
      </rPr>
      <t>39</t>
    </r>
  </si>
  <si>
    <r>
      <t>25 March 2006</t>
    </r>
    <r>
      <rPr>
        <sz val="9"/>
        <color theme="1"/>
        <rFont val="Arial"/>
        <family val="2"/>
      </rPr>
      <t>40</t>
    </r>
  </si>
  <si>
    <t>showWalkers Stadium</t>
  </si>
  <si>
    <r>
      <t>1 April 2006</t>
    </r>
    <r>
      <rPr>
        <sz val="9"/>
        <color theme="1"/>
        <rFont val="Arial"/>
        <family val="2"/>
      </rPr>
      <t>41</t>
    </r>
  </si>
  <si>
    <r>
      <t>8 April 2006</t>
    </r>
    <r>
      <rPr>
        <sz val="9"/>
        <color theme="1"/>
        <rFont val="Arial"/>
        <family val="2"/>
      </rPr>
      <t>42</t>
    </r>
  </si>
  <si>
    <t>2–5</t>
  </si>
  <si>
    <t>showNinian Park</t>
  </si>
  <si>
    <r>
      <t>15 April 2006</t>
    </r>
    <r>
      <rPr>
        <sz val="9"/>
        <color theme="1"/>
        <rFont val="Arial"/>
        <family val="2"/>
      </rPr>
      <t>43</t>
    </r>
  </si>
  <si>
    <t>showElland Road</t>
  </si>
  <si>
    <r>
      <t>17 April 2006</t>
    </r>
    <r>
      <rPr>
        <sz val="9"/>
        <color theme="1"/>
        <rFont val="Arial"/>
        <family val="2"/>
      </rPr>
      <t>44</t>
    </r>
  </si>
  <si>
    <r>
      <t>22 April 2006</t>
    </r>
    <r>
      <rPr>
        <sz val="9"/>
        <color theme="1"/>
        <rFont val="Arial"/>
        <family val="2"/>
      </rPr>
      <t>45</t>
    </r>
  </si>
  <si>
    <t>showHillsborough</t>
  </si>
  <si>
    <r>
      <t>30 April 2006</t>
    </r>
    <r>
      <rPr>
        <sz val="9"/>
        <color theme="1"/>
        <rFont val="Arial"/>
        <family val="2"/>
      </rPr>
      <t>46</t>
    </r>
  </si>
  <si>
    <t>2005-08-06</t>
  </si>
  <si>
    <t>2005-08-09</t>
  </si>
  <si>
    <t>2005-08-13</t>
  </si>
  <si>
    <t>2005-08-20</t>
  </si>
  <si>
    <t>2005-08-27</t>
  </si>
  <si>
    <t>2005-08-29</t>
  </si>
  <si>
    <t>2005-09-10</t>
  </si>
  <si>
    <t>2005-09-13</t>
  </si>
  <si>
    <t>2005-09-17</t>
  </si>
  <si>
    <t>2005-09-24</t>
  </si>
  <si>
    <t>2005-09-28</t>
  </si>
  <si>
    <t>2005-10-01</t>
  </si>
  <si>
    <t>2005-10-16</t>
  </si>
  <si>
    <t>2005-10-18</t>
  </si>
  <si>
    <t>2005-10-22</t>
  </si>
  <si>
    <t>2005-10-29</t>
  </si>
  <si>
    <t>2005-11-01</t>
  </si>
  <si>
    <t>2005-11-05</t>
  </si>
  <si>
    <t>2005-11-19</t>
  </si>
  <si>
    <t>2005-11-22</t>
  </si>
  <si>
    <t>2005-11-26</t>
  </si>
  <si>
    <t>2005-12-03</t>
  </si>
  <si>
    <t>2005-12-10</t>
  </si>
  <si>
    <t>2005-12-17</t>
  </si>
  <si>
    <t>2005-12-26</t>
  </si>
  <si>
    <t>2005-12-28</t>
  </si>
  <si>
    <t>2005-12-31</t>
  </si>
  <si>
    <t>2006-01-02</t>
  </si>
  <si>
    <t>2006-01-14</t>
  </si>
  <si>
    <t>2006-01-20</t>
  </si>
  <si>
    <t>2006-01-31</t>
  </si>
  <si>
    <t>2006-02-04</t>
  </si>
  <si>
    <t>2006-02-10</t>
  </si>
  <si>
    <t>2006-02-14</t>
  </si>
  <si>
    <t>2006-02-17</t>
  </si>
  <si>
    <t>2006-02-25</t>
  </si>
  <si>
    <t>2006-03-04</t>
  </si>
  <si>
    <t>2006-03-11</t>
  </si>
  <si>
    <t>2006-03-18</t>
  </si>
  <si>
    <t>2006-03-25</t>
  </si>
  <si>
    <t>2006-04-01</t>
  </si>
  <si>
    <t>2006-04-08</t>
  </si>
  <si>
    <t>2006-04-15</t>
  </si>
  <si>
    <t>2006-04-17</t>
  </si>
  <si>
    <t>2006-04-22</t>
  </si>
  <si>
    <t>2006-04-30</t>
  </si>
  <si>
    <t>GameWeek</t>
  </si>
  <si>
    <t>Date</t>
  </si>
  <si>
    <t>Points</t>
  </si>
  <si>
    <t>showLeicester</t>
  </si>
  <si>
    <r>
      <t>12 August 2023</t>
    </r>
    <r>
      <rPr>
        <sz val="9"/>
        <color theme="1"/>
        <rFont val="Arial"/>
        <family val="2"/>
      </rPr>
      <t>2</t>
    </r>
  </si>
  <si>
    <t>Huddersfield Town</t>
  </si>
  <si>
    <t>showHuddersfield</t>
  </si>
  <si>
    <r>
      <t>19 August 2023</t>
    </r>
    <r>
      <rPr>
        <sz val="9"/>
        <color theme="1"/>
        <rFont val="Arial"/>
        <family val="2"/>
      </rPr>
      <t>3</t>
    </r>
  </si>
  <si>
    <r>
      <t>26 August 2023</t>
    </r>
    <r>
      <rPr>
        <sz val="9"/>
        <color theme="1"/>
        <rFont val="Arial"/>
        <family val="2"/>
      </rPr>
      <t>4</t>
    </r>
  </si>
  <si>
    <t>Rotherham United</t>
  </si>
  <si>
    <t>showRotherham</t>
  </si>
  <si>
    <r>
      <t>2 September 2023</t>
    </r>
    <r>
      <rPr>
        <sz val="9"/>
        <color theme="1"/>
        <rFont val="Arial"/>
        <family val="2"/>
      </rPr>
      <t>5</t>
    </r>
  </si>
  <si>
    <r>
      <t>15 September 2023</t>
    </r>
    <r>
      <rPr>
        <sz val="9"/>
        <color theme="1"/>
        <rFont val="Arial"/>
        <family val="2"/>
      </rPr>
      <t>6</t>
    </r>
  </si>
  <si>
    <t>1–4</t>
  </si>
  <si>
    <t>showSouthampton</t>
  </si>
  <si>
    <r>
      <t>20 September 2023</t>
    </r>
    <r>
      <rPr>
        <sz val="9"/>
        <color theme="1"/>
        <rFont val="Arial"/>
        <family val="2"/>
      </rPr>
      <t>7</t>
    </r>
  </si>
  <si>
    <t>showNorwich</t>
  </si>
  <si>
    <r>
      <t>23 September 2023</t>
    </r>
    <r>
      <rPr>
        <sz val="9"/>
        <color theme="1"/>
        <rFont val="Arial"/>
        <family val="2"/>
      </rPr>
      <t>8</t>
    </r>
  </si>
  <si>
    <t>Bristol City</t>
  </si>
  <si>
    <r>
      <t>1 October 2023</t>
    </r>
    <r>
      <rPr>
        <sz val="9"/>
        <color theme="1"/>
        <rFont val="Arial"/>
        <family val="2"/>
      </rPr>
      <t>9</t>
    </r>
  </si>
  <si>
    <t>Blackburn Rovers</t>
  </si>
  <si>
    <t>showBlackburn</t>
  </si>
  <si>
    <r>
      <t>4 October 2023</t>
    </r>
    <r>
      <rPr>
        <sz val="9"/>
        <color theme="1"/>
        <rFont val="Arial"/>
        <family val="2"/>
      </rPr>
      <t>10</t>
    </r>
  </si>
  <si>
    <r>
      <t>7 October 2023</t>
    </r>
    <r>
      <rPr>
        <sz val="9"/>
        <color theme="1"/>
        <rFont val="Arial"/>
        <family val="2"/>
      </rPr>
      <t>11</t>
    </r>
  </si>
  <si>
    <r>
      <t>21 October 2023</t>
    </r>
    <r>
      <rPr>
        <sz val="9"/>
        <color theme="1"/>
        <rFont val="Arial"/>
        <family val="2"/>
      </rPr>
      <t>12</t>
    </r>
  </si>
  <si>
    <t>Swansea City</t>
  </si>
  <si>
    <t>1–3</t>
  </si>
  <si>
    <t>showSwansea</t>
  </si>
  <si>
    <r>
      <t>24 October 2023</t>
    </r>
    <r>
      <rPr>
        <sz val="9"/>
        <color theme="1"/>
        <rFont val="Arial"/>
        <family val="2"/>
      </rPr>
      <t>13</t>
    </r>
  </si>
  <si>
    <t>Sunderland</t>
  </si>
  <si>
    <r>
      <t>28 October 2023</t>
    </r>
    <r>
      <rPr>
        <sz val="9"/>
        <color theme="1"/>
        <rFont val="Arial"/>
        <family val="2"/>
      </rPr>
      <t>14</t>
    </r>
  </si>
  <si>
    <t>showWhite City</t>
  </si>
  <si>
    <r>
      <t>3 November 2023</t>
    </r>
    <r>
      <rPr>
        <sz val="9"/>
        <color theme="1"/>
        <rFont val="Arial"/>
        <family val="2"/>
      </rPr>
      <t>15</t>
    </r>
  </si>
  <si>
    <r>
      <t>11 November 2023</t>
    </r>
    <r>
      <rPr>
        <sz val="9"/>
        <color theme="1"/>
        <rFont val="Arial"/>
        <family val="2"/>
      </rPr>
      <t>16</t>
    </r>
  </si>
  <si>
    <t>Middlesbrough</t>
  </si>
  <si>
    <t>showMiddlesbrough</t>
  </si>
  <si>
    <r>
      <t>25 November 2023</t>
    </r>
    <r>
      <rPr>
        <sz val="9"/>
        <color theme="1"/>
        <rFont val="Arial"/>
        <family val="2"/>
      </rPr>
      <t>17</t>
    </r>
  </si>
  <si>
    <r>
      <t>29 November 2023</t>
    </r>
    <r>
      <rPr>
        <sz val="9"/>
        <color theme="1"/>
        <rFont val="Arial"/>
        <family val="2"/>
      </rPr>
      <t>18</t>
    </r>
  </si>
  <si>
    <t>showSheffield</t>
  </si>
  <si>
    <r>
      <t>2 December 2023</t>
    </r>
    <r>
      <rPr>
        <sz val="9"/>
        <color theme="1"/>
        <rFont val="Arial"/>
        <family val="2"/>
      </rPr>
      <t>19</t>
    </r>
  </si>
  <si>
    <t>West Bromwich Albion</t>
  </si>
  <si>
    <t>showWest Bromwich</t>
  </si>
  <si>
    <r>
      <t>9 December 2023</t>
    </r>
    <r>
      <rPr>
        <sz val="9"/>
        <color theme="1"/>
        <rFont val="Arial"/>
        <family val="2"/>
      </rPr>
      <t>20</t>
    </r>
  </si>
  <si>
    <r>
      <t>13 December 2023</t>
    </r>
    <r>
      <rPr>
        <sz val="9"/>
        <color theme="1"/>
        <rFont val="Arial"/>
        <family val="2"/>
      </rPr>
      <t>21</t>
    </r>
  </si>
  <si>
    <r>
      <t>18 December 2023</t>
    </r>
    <r>
      <rPr>
        <sz val="9"/>
        <color theme="1"/>
        <rFont val="Arial"/>
        <family val="2"/>
      </rPr>
      <t>22</t>
    </r>
  </si>
  <si>
    <t>Birmingham City</t>
  </si>
  <si>
    <t>2–3</t>
  </si>
  <si>
    <t>showBirmingham</t>
  </si>
  <si>
    <r>
      <t>23 December 2023</t>
    </r>
    <r>
      <rPr>
        <sz val="9"/>
        <color theme="1"/>
        <rFont val="Arial"/>
        <family val="2"/>
      </rPr>
      <t>23</t>
    </r>
  </si>
  <si>
    <r>
      <t>26 December 2023</t>
    </r>
    <r>
      <rPr>
        <sz val="9"/>
        <color theme="1"/>
        <rFont val="Arial"/>
        <family val="2"/>
      </rPr>
      <t>24</t>
    </r>
  </si>
  <si>
    <t>showIpswich</t>
  </si>
  <si>
    <r>
      <t>29 December 2023</t>
    </r>
    <r>
      <rPr>
        <sz val="9"/>
        <color theme="1"/>
        <rFont val="Arial"/>
        <family val="2"/>
      </rPr>
      <t>25</t>
    </r>
  </si>
  <si>
    <t>showCardiff</t>
  </si>
  <si>
    <r>
      <t>1 January 2024</t>
    </r>
    <r>
      <rPr>
        <sz val="9"/>
        <color theme="1"/>
        <rFont val="Arial"/>
        <family val="2"/>
      </rPr>
      <t>26</t>
    </r>
  </si>
  <si>
    <t>4–1</t>
  </si>
  <si>
    <r>
      <t>13 January 2024</t>
    </r>
    <r>
      <rPr>
        <sz val="9"/>
        <color theme="1"/>
        <rFont val="Arial"/>
        <family val="2"/>
      </rPr>
      <t>27</t>
    </r>
  </si>
  <si>
    <t>showCoventry</t>
  </si>
  <si>
    <r>
      <t>22 January 2024</t>
    </r>
    <r>
      <rPr>
        <sz val="9"/>
        <color theme="1"/>
        <rFont val="Arial"/>
        <family val="2"/>
      </rPr>
      <t>28</t>
    </r>
  </si>
  <si>
    <r>
      <t>30 January 2024</t>
    </r>
    <r>
      <rPr>
        <sz val="9"/>
        <color theme="1"/>
        <rFont val="Arial"/>
        <family val="2"/>
      </rPr>
      <t>29</t>
    </r>
  </si>
  <si>
    <r>
      <t>3 February 2024</t>
    </r>
    <r>
      <rPr>
        <sz val="9"/>
        <color theme="1"/>
        <rFont val="Arial"/>
        <family val="2"/>
      </rPr>
      <t>30</t>
    </r>
  </si>
  <si>
    <t>0–5</t>
  </si>
  <si>
    <t>showStoke-on-Trent</t>
  </si>
  <si>
    <r>
      <t>6 August 2023</t>
    </r>
    <r>
      <rPr>
        <sz val="9"/>
        <color rgb="FF202122"/>
        <rFont val="Arial"/>
        <family val="2"/>
      </rPr>
      <t>1</t>
    </r>
  </si>
  <si>
    <t>2023-08-06</t>
  </si>
  <si>
    <t>2023-08-12</t>
  </si>
  <si>
    <t>2023-08-19</t>
  </si>
  <si>
    <t>2023-08-26</t>
  </si>
  <si>
    <t>2023-09-02</t>
  </si>
  <si>
    <t>2023-09-15</t>
  </si>
  <si>
    <t>2023-09-20</t>
  </si>
  <si>
    <t>2023-09-23</t>
  </si>
  <si>
    <t>2023-10-01</t>
  </si>
  <si>
    <t>2023-10-04</t>
  </si>
  <si>
    <t>2023-10-07</t>
  </si>
  <si>
    <t>2023-10-21</t>
  </si>
  <si>
    <t>2023-10-24</t>
  </si>
  <si>
    <t>2023-10-28</t>
  </si>
  <si>
    <t>2023-11-03</t>
  </si>
  <si>
    <t>2023-11-11</t>
  </si>
  <si>
    <t>2023-11-25</t>
  </si>
  <si>
    <t>2023-11-29</t>
  </si>
  <si>
    <t>2023-12-02</t>
  </si>
  <si>
    <t>2023-12-09</t>
  </si>
  <si>
    <t>2023-12-13</t>
  </si>
  <si>
    <t>2023-12-18</t>
  </si>
  <si>
    <t>2023-12-23</t>
  </si>
  <si>
    <t>2023-12-26</t>
  </si>
  <si>
    <t>2023-12-29</t>
  </si>
  <si>
    <t>2024-01-01</t>
  </si>
  <si>
    <t>2024-01-13</t>
  </si>
  <si>
    <t>2024-01-22</t>
  </si>
  <si>
    <t>2024-01-30</t>
  </si>
  <si>
    <t>2024-02-03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</si>
</sst>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202122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9F9F9"/>
      <name val="Courier New"/>
      <family val="3"/>
    </font>
    <font>
      <sz val="9"/>
      <color rgb="FF20212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BBBB"/>
        <bgColor indexed="64"/>
      </patternFill>
    </fill>
    <fill>
      <patternFill patternType="solid">
        <fgColor rgb="FFBBF3BB"/>
        <bgColor indexed="64"/>
      </patternFill>
    </fill>
    <fill>
      <patternFill patternType="solid">
        <fgColor rgb="FFFFFFBB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999999"/>
      </top>
      <bottom style="medium">
        <color rgb="FF999999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5" fillId="0" borderId="0" xfId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5" fillId="3" borderId="1" xfId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5" fillId="3" borderId="1" xfId="1" applyFill="1" applyBorder="1" applyAlignment="1">
      <alignment vertical="center" wrapText="1"/>
    </xf>
    <xf numFmtId="0" fontId="4" fillId="3" borderId="1" xfId="0" applyFont="1" applyFill="1" applyBorder="1" applyAlignment="1">
      <alignment horizontal="right" vertical="center" wrapText="1"/>
    </xf>
    <xf numFmtId="0" fontId="2" fillId="4" borderId="1" xfId="0" applyFont="1" applyFill="1" applyBorder="1" applyAlignment="1">
      <alignment vertical="center" wrapText="1"/>
    </xf>
    <xf numFmtId="0" fontId="5" fillId="4" borderId="1" xfId="1" applyFill="1" applyBorder="1" applyAlignment="1">
      <alignment horizontal="right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5" fillId="4" borderId="1" xfId="1" applyFill="1" applyBorder="1" applyAlignment="1">
      <alignment vertical="center" wrapText="1"/>
    </xf>
    <xf numFmtId="0" fontId="4" fillId="4" borderId="1" xfId="0" applyFont="1" applyFill="1" applyBorder="1" applyAlignment="1">
      <alignment horizontal="right" vertical="center" wrapText="1"/>
    </xf>
    <xf numFmtId="0" fontId="5" fillId="2" borderId="1" xfId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vertical="center" wrapText="1"/>
    </xf>
    <xf numFmtId="0" fontId="6" fillId="0" borderId="0" xfId="0" applyFont="1"/>
    <xf numFmtId="0" fontId="1" fillId="3" borderId="1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Ipswich_Town_F.C." TargetMode="External"/><Relationship Id="rId21" Type="http://schemas.openxmlformats.org/officeDocument/2006/relationships/hyperlink" Target="https://en.wikipedia.org/wiki/Carrow_Road" TargetMode="External"/><Relationship Id="rId42" Type="http://schemas.openxmlformats.org/officeDocument/2006/relationships/hyperlink" Target="https://en.wikipedia.org/wiki/Plymouth_Argyle_F.C." TargetMode="External"/><Relationship Id="rId47" Type="http://schemas.openxmlformats.org/officeDocument/2006/relationships/hyperlink" Target="https://en.wikipedia.org/wiki/Madejski_Stadium" TargetMode="External"/><Relationship Id="rId63" Type="http://schemas.openxmlformats.org/officeDocument/2006/relationships/hyperlink" Target="https://en.wikipedia.org/wiki/Madejski_Stadium" TargetMode="External"/><Relationship Id="rId68" Type="http://schemas.openxmlformats.org/officeDocument/2006/relationships/hyperlink" Target="https://en.wikipedia.org/wiki/Sheffield_United_F.C." TargetMode="External"/><Relationship Id="rId84" Type="http://schemas.openxmlformats.org/officeDocument/2006/relationships/hyperlink" Target="https://en.wikipedia.org/wiki/Cardiff_City_F.C." TargetMode="External"/><Relationship Id="rId89" Type="http://schemas.openxmlformats.org/officeDocument/2006/relationships/hyperlink" Target="https://en.wikipedia.org/wiki/Madejski_Stadium" TargetMode="External"/><Relationship Id="rId16" Type="http://schemas.openxmlformats.org/officeDocument/2006/relationships/hyperlink" Target="https://en.wikipedia.org/wiki/Crystal_Palace_F.C." TargetMode="External"/><Relationship Id="rId11" Type="http://schemas.openxmlformats.org/officeDocument/2006/relationships/hyperlink" Target="https://en.wikipedia.org/wiki/Vicarage_Road" TargetMode="External"/><Relationship Id="rId32" Type="http://schemas.openxmlformats.org/officeDocument/2006/relationships/hyperlink" Target="https://en.wikipedia.org/wiki/Leeds_United_F.C." TargetMode="External"/><Relationship Id="rId37" Type="http://schemas.openxmlformats.org/officeDocument/2006/relationships/hyperlink" Target="https://en.wikipedia.org/wiki/Loftus_Road" TargetMode="External"/><Relationship Id="rId53" Type="http://schemas.openxmlformats.org/officeDocument/2006/relationships/hyperlink" Target="https://en.wikipedia.org/wiki/Madejski_Stadium" TargetMode="External"/><Relationship Id="rId58" Type="http://schemas.openxmlformats.org/officeDocument/2006/relationships/hyperlink" Target="https://en.wikipedia.org/wiki/Coventry_City_F.C." TargetMode="External"/><Relationship Id="rId74" Type="http://schemas.openxmlformats.org/officeDocument/2006/relationships/hyperlink" Target="https://en.wikipedia.org/wiki/Burnley_F.C." TargetMode="External"/><Relationship Id="rId79" Type="http://schemas.openxmlformats.org/officeDocument/2006/relationships/hyperlink" Target="https://en.wikipedia.org/wiki/Madejski_Stadium" TargetMode="External"/><Relationship Id="rId5" Type="http://schemas.openxmlformats.org/officeDocument/2006/relationships/hyperlink" Target="https://en.wikipedia.org/wiki/Withdean_Stadium" TargetMode="External"/><Relationship Id="rId90" Type="http://schemas.openxmlformats.org/officeDocument/2006/relationships/hyperlink" Target="https://en.wikipedia.org/wiki/Sheffield_Wednesday_F.C." TargetMode="External"/><Relationship Id="rId22" Type="http://schemas.openxmlformats.org/officeDocument/2006/relationships/hyperlink" Target="https://en.wikipedia.org/wiki/Southampton_F.C." TargetMode="External"/><Relationship Id="rId27" Type="http://schemas.openxmlformats.org/officeDocument/2006/relationships/hyperlink" Target="https://en.wikipedia.org/wiki/Madejski_Stadium" TargetMode="External"/><Relationship Id="rId43" Type="http://schemas.openxmlformats.org/officeDocument/2006/relationships/hyperlink" Target="https://en.wikipedia.org/wiki/Home_Park" TargetMode="External"/><Relationship Id="rId48" Type="http://schemas.openxmlformats.org/officeDocument/2006/relationships/hyperlink" Target="https://en.wikipedia.org/wiki/Millwall_F.C." TargetMode="External"/><Relationship Id="rId64" Type="http://schemas.openxmlformats.org/officeDocument/2006/relationships/hyperlink" Target="https://en.wikipedia.org/wiki/Crewe_Alexandra_F.C." TargetMode="External"/><Relationship Id="rId69" Type="http://schemas.openxmlformats.org/officeDocument/2006/relationships/hyperlink" Target="https://en.wikipedia.org/wiki/Bramall_Lane" TargetMode="External"/><Relationship Id="rId8" Type="http://schemas.openxmlformats.org/officeDocument/2006/relationships/hyperlink" Target="https://en.wikipedia.org/wiki/Millwall_F.C." TargetMode="External"/><Relationship Id="rId51" Type="http://schemas.openxmlformats.org/officeDocument/2006/relationships/hyperlink" Target="https://en.wikipedia.org/wiki/Molineux_Stadium" TargetMode="External"/><Relationship Id="rId72" Type="http://schemas.openxmlformats.org/officeDocument/2006/relationships/hyperlink" Target="https://en.wikipedia.org/wiki/Preston_North_End_F.C." TargetMode="External"/><Relationship Id="rId80" Type="http://schemas.openxmlformats.org/officeDocument/2006/relationships/hyperlink" Target="https://en.wikipedia.org/wiki/Leicester_City_F.C." TargetMode="External"/><Relationship Id="rId85" Type="http://schemas.openxmlformats.org/officeDocument/2006/relationships/hyperlink" Target="https://en.wikipedia.org/wiki/Ninian_Park" TargetMode="External"/><Relationship Id="rId93" Type="http://schemas.openxmlformats.org/officeDocument/2006/relationships/hyperlink" Target="https://en.wikipedia.org/wiki/Madejski_Stadium" TargetMode="External"/><Relationship Id="rId3" Type="http://schemas.openxmlformats.org/officeDocument/2006/relationships/hyperlink" Target="https://en.wikipedia.org/wiki/Madejski_Stadium" TargetMode="External"/><Relationship Id="rId12" Type="http://schemas.openxmlformats.org/officeDocument/2006/relationships/hyperlink" Target="https://en.wikipedia.org/wiki/Burnley_F.C." TargetMode="External"/><Relationship Id="rId17" Type="http://schemas.openxmlformats.org/officeDocument/2006/relationships/hyperlink" Target="https://en.wikipedia.org/wiki/Madejski_Stadium" TargetMode="External"/><Relationship Id="rId25" Type="http://schemas.openxmlformats.org/officeDocument/2006/relationships/hyperlink" Target="https://en.wikipedia.org/wiki/Madejski_Stadium" TargetMode="External"/><Relationship Id="rId33" Type="http://schemas.openxmlformats.org/officeDocument/2006/relationships/hyperlink" Target="https://en.wikipedia.org/wiki/Madejski_Stadium" TargetMode="External"/><Relationship Id="rId38" Type="http://schemas.openxmlformats.org/officeDocument/2006/relationships/hyperlink" Target="https://en.wikipedia.org/wiki/Hull_City_A.F.C." TargetMode="External"/><Relationship Id="rId46" Type="http://schemas.openxmlformats.org/officeDocument/2006/relationships/hyperlink" Target="https://en.wikipedia.org/wiki/Brighton_%26_Hove_Albion_F.C." TargetMode="External"/><Relationship Id="rId59" Type="http://schemas.openxmlformats.org/officeDocument/2006/relationships/hyperlink" Target="https://en.wikipedia.org/wiki/Madejski_Stadium" TargetMode="External"/><Relationship Id="rId67" Type="http://schemas.openxmlformats.org/officeDocument/2006/relationships/hyperlink" Target="https://en.wikipedia.org/wiki/Madejski_Stadium" TargetMode="External"/><Relationship Id="rId20" Type="http://schemas.openxmlformats.org/officeDocument/2006/relationships/hyperlink" Target="https://en.wikipedia.org/wiki/Norwich_City_F.C." TargetMode="External"/><Relationship Id="rId41" Type="http://schemas.openxmlformats.org/officeDocument/2006/relationships/hyperlink" Target="https://en.wikipedia.org/wiki/Portman_Road" TargetMode="External"/><Relationship Id="rId54" Type="http://schemas.openxmlformats.org/officeDocument/2006/relationships/hyperlink" Target="https://en.wikipedia.org/wiki/Derby_County_F.C." TargetMode="External"/><Relationship Id="rId62" Type="http://schemas.openxmlformats.org/officeDocument/2006/relationships/hyperlink" Target="https://en.wikipedia.org/wiki/Norwich_City_F.C." TargetMode="External"/><Relationship Id="rId70" Type="http://schemas.openxmlformats.org/officeDocument/2006/relationships/hyperlink" Target="https://en.wikipedia.org/wiki/Luton_Town_F.C." TargetMode="External"/><Relationship Id="rId75" Type="http://schemas.openxmlformats.org/officeDocument/2006/relationships/hyperlink" Target="https://en.wikipedia.org/wiki/Turf_Moor" TargetMode="External"/><Relationship Id="rId83" Type="http://schemas.openxmlformats.org/officeDocument/2006/relationships/hyperlink" Target="https://en.wikipedia.org/wiki/Madejski_Stadium" TargetMode="External"/><Relationship Id="rId88" Type="http://schemas.openxmlformats.org/officeDocument/2006/relationships/hyperlink" Target="https://en.wikipedia.org/wiki/Stoke_City_F.C." TargetMode="External"/><Relationship Id="rId91" Type="http://schemas.openxmlformats.org/officeDocument/2006/relationships/hyperlink" Target="https://en.wikipedia.org/wiki/Hillsborough_Stadium" TargetMode="External"/><Relationship Id="rId1" Type="http://schemas.openxmlformats.org/officeDocument/2006/relationships/hyperlink" Target="https://en.wikipedia.org/w/index.php?title=2005%E2%80%9306_Reading_F.C._season&amp;action=edit&amp;section=20" TargetMode="External"/><Relationship Id="rId6" Type="http://schemas.openxmlformats.org/officeDocument/2006/relationships/hyperlink" Target="https://en.wikipedia.org/wiki/Preston_North_End_F.C." TargetMode="External"/><Relationship Id="rId15" Type="http://schemas.openxmlformats.org/officeDocument/2006/relationships/hyperlink" Target="https://en.wikipedia.org/wiki/Ricoh_Arena" TargetMode="External"/><Relationship Id="rId23" Type="http://schemas.openxmlformats.org/officeDocument/2006/relationships/hyperlink" Target="https://en.wikipedia.org/wiki/St_Mary%27s_Stadium" TargetMode="External"/><Relationship Id="rId28" Type="http://schemas.openxmlformats.org/officeDocument/2006/relationships/hyperlink" Target="https://en.wikipedia.org/wiki/Hull_City_A.F.C." TargetMode="External"/><Relationship Id="rId36" Type="http://schemas.openxmlformats.org/officeDocument/2006/relationships/hyperlink" Target="https://en.wikipedia.org/wiki/Queens_Park_Rangers_F.C." TargetMode="External"/><Relationship Id="rId49" Type="http://schemas.openxmlformats.org/officeDocument/2006/relationships/hyperlink" Target="https://en.wikipedia.org/wiki/The_Den" TargetMode="External"/><Relationship Id="rId57" Type="http://schemas.openxmlformats.org/officeDocument/2006/relationships/hyperlink" Target="https://en.wikipedia.org/wiki/Madejski_Stadium" TargetMode="External"/><Relationship Id="rId10" Type="http://schemas.openxmlformats.org/officeDocument/2006/relationships/hyperlink" Target="https://en.wikipedia.org/wiki/Watford_F.C." TargetMode="External"/><Relationship Id="rId31" Type="http://schemas.openxmlformats.org/officeDocument/2006/relationships/hyperlink" Target="https://en.wikipedia.org/wiki/Britannia_Stadium" TargetMode="External"/><Relationship Id="rId44" Type="http://schemas.openxmlformats.org/officeDocument/2006/relationships/hyperlink" Target="https://en.wikipedia.org/wiki/Luton_Town_F.C." TargetMode="External"/><Relationship Id="rId52" Type="http://schemas.openxmlformats.org/officeDocument/2006/relationships/hyperlink" Target="https://en.wikipedia.org/wiki/Leicester_City_F.C." TargetMode="External"/><Relationship Id="rId60" Type="http://schemas.openxmlformats.org/officeDocument/2006/relationships/hyperlink" Target="https://en.wikipedia.org/wiki/Crystal_Palace_F.C." TargetMode="External"/><Relationship Id="rId65" Type="http://schemas.openxmlformats.org/officeDocument/2006/relationships/hyperlink" Target="https://en.wikipedia.org/wiki/Alexandra_Stadium" TargetMode="External"/><Relationship Id="rId73" Type="http://schemas.openxmlformats.org/officeDocument/2006/relationships/hyperlink" Target="https://en.wikipedia.org/wiki/Madejski_Stadium" TargetMode="External"/><Relationship Id="rId78" Type="http://schemas.openxmlformats.org/officeDocument/2006/relationships/hyperlink" Target="https://en.wikipedia.org/wiki/Wolverhampton_Wanderers_F.C." TargetMode="External"/><Relationship Id="rId81" Type="http://schemas.openxmlformats.org/officeDocument/2006/relationships/hyperlink" Target="https://en.wikipedia.org/wiki/Walkers_Stadium" TargetMode="External"/><Relationship Id="rId86" Type="http://schemas.openxmlformats.org/officeDocument/2006/relationships/hyperlink" Target="https://en.wikipedia.org/wiki/Leeds_United_F.C." TargetMode="External"/><Relationship Id="rId4" Type="http://schemas.openxmlformats.org/officeDocument/2006/relationships/hyperlink" Target="https://en.wikipedia.org/wiki/Brighton_%26_Hove_Albion_F.C." TargetMode="External"/><Relationship Id="rId9" Type="http://schemas.openxmlformats.org/officeDocument/2006/relationships/hyperlink" Target="https://en.wikipedia.org/wiki/Madejski_Stadium" TargetMode="External"/><Relationship Id="rId13" Type="http://schemas.openxmlformats.org/officeDocument/2006/relationships/hyperlink" Target="https://en.wikipedia.org/wiki/Madejski_Stadium" TargetMode="External"/><Relationship Id="rId18" Type="http://schemas.openxmlformats.org/officeDocument/2006/relationships/hyperlink" Target="https://en.wikipedia.org/wiki/Crewe_Alexandra_F.C." TargetMode="External"/><Relationship Id="rId39" Type="http://schemas.openxmlformats.org/officeDocument/2006/relationships/hyperlink" Target="https://en.wikipedia.org/wiki/Madejski_Stadium" TargetMode="External"/><Relationship Id="rId34" Type="http://schemas.openxmlformats.org/officeDocument/2006/relationships/hyperlink" Target="https://en.wikipedia.org/wiki/Sheffield_Wednesday_F.C." TargetMode="External"/><Relationship Id="rId50" Type="http://schemas.openxmlformats.org/officeDocument/2006/relationships/hyperlink" Target="https://en.wikipedia.org/wiki/Wolverhampton_Wanderers_F.C." TargetMode="External"/><Relationship Id="rId55" Type="http://schemas.openxmlformats.org/officeDocument/2006/relationships/hyperlink" Target="https://en.wikipedia.org/wiki/Pride_Park" TargetMode="External"/><Relationship Id="rId76" Type="http://schemas.openxmlformats.org/officeDocument/2006/relationships/hyperlink" Target="https://en.wikipedia.org/wiki/Watford_F.C." TargetMode="External"/><Relationship Id="rId7" Type="http://schemas.openxmlformats.org/officeDocument/2006/relationships/hyperlink" Target="https://en.wikipedia.org/wiki/Deepdale" TargetMode="External"/><Relationship Id="rId71" Type="http://schemas.openxmlformats.org/officeDocument/2006/relationships/hyperlink" Target="https://en.wikipedia.org/wiki/Kenilworth_Road" TargetMode="External"/><Relationship Id="rId92" Type="http://schemas.openxmlformats.org/officeDocument/2006/relationships/hyperlink" Target="https://en.wikipedia.org/wiki/Queens_Park_Rangers_F.C." TargetMode="External"/><Relationship Id="rId2" Type="http://schemas.openxmlformats.org/officeDocument/2006/relationships/hyperlink" Target="https://en.wikipedia.org/wiki/Plymouth_Argyle_F.C." TargetMode="External"/><Relationship Id="rId29" Type="http://schemas.openxmlformats.org/officeDocument/2006/relationships/hyperlink" Target="https://en.wikipedia.org/wiki/KC_Stadium" TargetMode="External"/><Relationship Id="rId24" Type="http://schemas.openxmlformats.org/officeDocument/2006/relationships/hyperlink" Target="https://en.wikipedia.org/wiki/Sheffield_United_F.C." TargetMode="External"/><Relationship Id="rId40" Type="http://schemas.openxmlformats.org/officeDocument/2006/relationships/hyperlink" Target="https://en.wikipedia.org/wiki/Ipswich_Town_F.C." TargetMode="External"/><Relationship Id="rId45" Type="http://schemas.openxmlformats.org/officeDocument/2006/relationships/hyperlink" Target="https://en.wikipedia.org/wiki/Madejski_Stadium" TargetMode="External"/><Relationship Id="rId66" Type="http://schemas.openxmlformats.org/officeDocument/2006/relationships/hyperlink" Target="https://en.wikipedia.org/wiki/Southampton_F.C." TargetMode="External"/><Relationship Id="rId87" Type="http://schemas.openxmlformats.org/officeDocument/2006/relationships/hyperlink" Target="https://en.wikipedia.org/wiki/Elland_Road" TargetMode="External"/><Relationship Id="rId61" Type="http://schemas.openxmlformats.org/officeDocument/2006/relationships/hyperlink" Target="https://en.wikipedia.org/wiki/Selhurst_Park" TargetMode="External"/><Relationship Id="rId82" Type="http://schemas.openxmlformats.org/officeDocument/2006/relationships/hyperlink" Target="https://en.wikipedia.org/wiki/Derby_County_F.C." TargetMode="External"/><Relationship Id="rId19" Type="http://schemas.openxmlformats.org/officeDocument/2006/relationships/hyperlink" Target="https://en.wikipedia.org/wiki/Madejski_Stadium" TargetMode="External"/><Relationship Id="rId14" Type="http://schemas.openxmlformats.org/officeDocument/2006/relationships/hyperlink" Target="https://en.wikipedia.org/wiki/Coventry_City_F.C." TargetMode="External"/><Relationship Id="rId30" Type="http://schemas.openxmlformats.org/officeDocument/2006/relationships/hyperlink" Target="https://en.wikipedia.org/wiki/Stoke_City_F.C." TargetMode="External"/><Relationship Id="rId35" Type="http://schemas.openxmlformats.org/officeDocument/2006/relationships/hyperlink" Target="https://en.wikipedia.org/wiki/Madejski_Stadium" TargetMode="External"/><Relationship Id="rId56" Type="http://schemas.openxmlformats.org/officeDocument/2006/relationships/hyperlink" Target="https://en.wikipedia.org/wiki/Cardiff_City_F.C." TargetMode="External"/><Relationship Id="rId77" Type="http://schemas.openxmlformats.org/officeDocument/2006/relationships/hyperlink" Target="https://en.wikipedia.org/wiki/Madejski_Stadium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Norwich_City_F.C." TargetMode="External"/><Relationship Id="rId18" Type="http://schemas.openxmlformats.org/officeDocument/2006/relationships/hyperlink" Target="https://en.wikipedia.org/wiki/Blackburn" TargetMode="External"/><Relationship Id="rId26" Type="http://schemas.openxmlformats.org/officeDocument/2006/relationships/hyperlink" Target="https://en.wikipedia.org/wiki/Leicester" TargetMode="External"/><Relationship Id="rId39" Type="http://schemas.openxmlformats.org/officeDocument/2006/relationships/hyperlink" Target="https://en.wikipedia.org/wiki/Plymouth_Argyle_F.C." TargetMode="External"/><Relationship Id="rId21" Type="http://schemas.openxmlformats.org/officeDocument/2006/relationships/hyperlink" Target="https://en.wikipedia.org/wiki/Stoke_City_F.C." TargetMode="External"/><Relationship Id="rId34" Type="http://schemas.openxmlformats.org/officeDocument/2006/relationships/hyperlink" Target="https://en.wikipedia.org/wiki/Leicester" TargetMode="External"/><Relationship Id="rId42" Type="http://schemas.openxmlformats.org/officeDocument/2006/relationships/hyperlink" Target="https://en.wikipedia.org/wiki/Leicester" TargetMode="External"/><Relationship Id="rId47" Type="http://schemas.openxmlformats.org/officeDocument/2006/relationships/hyperlink" Target="https://en.wikipedia.org/wiki/Ipswich_Town_F.C." TargetMode="External"/><Relationship Id="rId50" Type="http://schemas.openxmlformats.org/officeDocument/2006/relationships/hyperlink" Target="https://en.wikipedia.org/wiki/Cardiff" TargetMode="External"/><Relationship Id="rId55" Type="http://schemas.openxmlformats.org/officeDocument/2006/relationships/hyperlink" Target="https://en.wikipedia.org/wiki/Ipswich_Town_F.C." TargetMode="External"/><Relationship Id="rId7" Type="http://schemas.openxmlformats.org/officeDocument/2006/relationships/hyperlink" Target="https://en.wikipedia.org/wiki/Rotherham_United_F.C." TargetMode="External"/><Relationship Id="rId2" Type="http://schemas.openxmlformats.org/officeDocument/2006/relationships/hyperlink" Target="https://en.wikipedia.org/wiki/Leicester" TargetMode="External"/><Relationship Id="rId16" Type="http://schemas.openxmlformats.org/officeDocument/2006/relationships/hyperlink" Target="https://en.wikipedia.org/wiki/Leicester" TargetMode="External"/><Relationship Id="rId29" Type="http://schemas.openxmlformats.org/officeDocument/2006/relationships/hyperlink" Target="https://en.wikipedia.org/wiki/Leeds_United_F.C." TargetMode="External"/><Relationship Id="rId11" Type="http://schemas.openxmlformats.org/officeDocument/2006/relationships/hyperlink" Target="https://en.wikipedia.org/wiki/Southampton_F.C." TargetMode="External"/><Relationship Id="rId24" Type="http://schemas.openxmlformats.org/officeDocument/2006/relationships/hyperlink" Target="https://en.wikipedia.org/wiki/Swansea" TargetMode="External"/><Relationship Id="rId32" Type="http://schemas.openxmlformats.org/officeDocument/2006/relationships/hyperlink" Target="https://en.wikipedia.org/wiki/Middlesbrough" TargetMode="External"/><Relationship Id="rId37" Type="http://schemas.openxmlformats.org/officeDocument/2006/relationships/hyperlink" Target="https://en.wikipedia.org/wiki/West_Bromwich_Albion_F.C." TargetMode="External"/><Relationship Id="rId40" Type="http://schemas.openxmlformats.org/officeDocument/2006/relationships/hyperlink" Target="https://en.wikipedia.org/wiki/Leicester" TargetMode="External"/><Relationship Id="rId45" Type="http://schemas.openxmlformats.org/officeDocument/2006/relationships/hyperlink" Target="https://en.wikipedia.org/wiki/Rotherham_United_F.C." TargetMode="External"/><Relationship Id="rId53" Type="http://schemas.openxmlformats.org/officeDocument/2006/relationships/hyperlink" Target="https://en.wikipedia.org/wiki/Coventry_City_F.C." TargetMode="External"/><Relationship Id="rId58" Type="http://schemas.openxmlformats.org/officeDocument/2006/relationships/hyperlink" Target="https://en.wikipedia.org/wiki/Leicester" TargetMode="External"/><Relationship Id="rId5" Type="http://schemas.openxmlformats.org/officeDocument/2006/relationships/hyperlink" Target="https://en.wikipedia.org/wiki/Cardiff_City_F.C." TargetMode="External"/><Relationship Id="rId19" Type="http://schemas.openxmlformats.org/officeDocument/2006/relationships/hyperlink" Target="https://en.wikipedia.org/wiki/Preston_North_End_F.C." TargetMode="External"/><Relationship Id="rId4" Type="http://schemas.openxmlformats.org/officeDocument/2006/relationships/hyperlink" Target="https://en.wikipedia.org/wiki/Huddersfield" TargetMode="External"/><Relationship Id="rId9" Type="http://schemas.openxmlformats.org/officeDocument/2006/relationships/hyperlink" Target="https://en.wikipedia.org/wiki/Hull_City_F.C." TargetMode="External"/><Relationship Id="rId14" Type="http://schemas.openxmlformats.org/officeDocument/2006/relationships/hyperlink" Target="https://en.wikipedia.org/wiki/Norwich" TargetMode="External"/><Relationship Id="rId22" Type="http://schemas.openxmlformats.org/officeDocument/2006/relationships/hyperlink" Target="https://en.wikipedia.org/wiki/Leicester" TargetMode="External"/><Relationship Id="rId27" Type="http://schemas.openxmlformats.org/officeDocument/2006/relationships/hyperlink" Target="https://en.wikipedia.org/wiki/Queens_Park_Rangers_F.C." TargetMode="External"/><Relationship Id="rId30" Type="http://schemas.openxmlformats.org/officeDocument/2006/relationships/hyperlink" Target="https://en.wikipedia.org/wiki/Leicester" TargetMode="External"/><Relationship Id="rId35" Type="http://schemas.openxmlformats.org/officeDocument/2006/relationships/hyperlink" Target="https://en.wikipedia.org/wiki/Sheffield_Wednesday_F.C." TargetMode="External"/><Relationship Id="rId43" Type="http://schemas.openxmlformats.org/officeDocument/2006/relationships/hyperlink" Target="https://en.wikipedia.org/wiki/Birmingham_City_F.C." TargetMode="External"/><Relationship Id="rId48" Type="http://schemas.openxmlformats.org/officeDocument/2006/relationships/hyperlink" Target="https://en.wikipedia.org/wiki/Ipswich" TargetMode="External"/><Relationship Id="rId56" Type="http://schemas.openxmlformats.org/officeDocument/2006/relationships/hyperlink" Target="https://en.wikipedia.org/wiki/Leicester" TargetMode="External"/><Relationship Id="rId8" Type="http://schemas.openxmlformats.org/officeDocument/2006/relationships/hyperlink" Target="https://en.wikipedia.org/wiki/Rotherham" TargetMode="External"/><Relationship Id="rId51" Type="http://schemas.openxmlformats.org/officeDocument/2006/relationships/hyperlink" Target="https://en.wikipedia.org/wiki/Huddersfield_Town_A.F.C." TargetMode="External"/><Relationship Id="rId3" Type="http://schemas.openxmlformats.org/officeDocument/2006/relationships/hyperlink" Target="https://en.wikipedia.org/wiki/Huddersfield_Town_F.C." TargetMode="External"/><Relationship Id="rId12" Type="http://schemas.openxmlformats.org/officeDocument/2006/relationships/hyperlink" Target="https://en.wikipedia.org/wiki/Southampton" TargetMode="External"/><Relationship Id="rId17" Type="http://schemas.openxmlformats.org/officeDocument/2006/relationships/hyperlink" Target="https://en.wikipedia.org/wiki/Blackburn_Rovers_F.C." TargetMode="External"/><Relationship Id="rId25" Type="http://schemas.openxmlformats.org/officeDocument/2006/relationships/hyperlink" Target="https://en.wikipedia.org/wiki/Sunderland_A.F.C." TargetMode="External"/><Relationship Id="rId33" Type="http://schemas.openxmlformats.org/officeDocument/2006/relationships/hyperlink" Target="https://en.wikipedia.org/wiki/Watford_F.C." TargetMode="External"/><Relationship Id="rId38" Type="http://schemas.openxmlformats.org/officeDocument/2006/relationships/hyperlink" Target="https://en.wikipedia.org/wiki/West_Bromwich" TargetMode="External"/><Relationship Id="rId46" Type="http://schemas.openxmlformats.org/officeDocument/2006/relationships/hyperlink" Target="https://en.wikipedia.org/wiki/Leicester" TargetMode="External"/><Relationship Id="rId59" Type="http://schemas.openxmlformats.org/officeDocument/2006/relationships/hyperlink" Target="https://en.wikipedia.org/wiki/Stoke_City_F.C." TargetMode="External"/><Relationship Id="rId20" Type="http://schemas.openxmlformats.org/officeDocument/2006/relationships/hyperlink" Target="https://en.wikipedia.org/wiki/Leicester" TargetMode="External"/><Relationship Id="rId41" Type="http://schemas.openxmlformats.org/officeDocument/2006/relationships/hyperlink" Target="https://en.wikipedia.org/wiki/Millwall_F.C." TargetMode="External"/><Relationship Id="rId54" Type="http://schemas.openxmlformats.org/officeDocument/2006/relationships/hyperlink" Target="https://en.wikipedia.org/wiki/Coventry" TargetMode="External"/><Relationship Id="rId1" Type="http://schemas.openxmlformats.org/officeDocument/2006/relationships/hyperlink" Target="https://en.wikipedia.org/wiki/Coventry_City_F.C." TargetMode="External"/><Relationship Id="rId6" Type="http://schemas.openxmlformats.org/officeDocument/2006/relationships/hyperlink" Target="https://en.wikipedia.org/wiki/Leicester" TargetMode="External"/><Relationship Id="rId15" Type="http://schemas.openxmlformats.org/officeDocument/2006/relationships/hyperlink" Target="https://en.wikipedia.org/wiki/Bristol_City_F.C." TargetMode="External"/><Relationship Id="rId23" Type="http://schemas.openxmlformats.org/officeDocument/2006/relationships/hyperlink" Target="https://en.wikipedia.org/wiki/Swansea_City_A.F.C." TargetMode="External"/><Relationship Id="rId28" Type="http://schemas.openxmlformats.org/officeDocument/2006/relationships/hyperlink" Target="https://en.wikipedia.org/wiki/White_City,_London" TargetMode="External"/><Relationship Id="rId36" Type="http://schemas.openxmlformats.org/officeDocument/2006/relationships/hyperlink" Target="https://en.wikipedia.org/wiki/Sheffield" TargetMode="External"/><Relationship Id="rId49" Type="http://schemas.openxmlformats.org/officeDocument/2006/relationships/hyperlink" Target="https://en.wikipedia.org/wiki/Cardiff_City_F.C." TargetMode="External"/><Relationship Id="rId57" Type="http://schemas.openxmlformats.org/officeDocument/2006/relationships/hyperlink" Target="https://en.wikipedia.org/wiki/Swansea_City_A.F.C." TargetMode="External"/><Relationship Id="rId10" Type="http://schemas.openxmlformats.org/officeDocument/2006/relationships/hyperlink" Target="https://en.wikipedia.org/wiki/Leicester" TargetMode="External"/><Relationship Id="rId31" Type="http://schemas.openxmlformats.org/officeDocument/2006/relationships/hyperlink" Target="https://en.wikipedia.org/wiki/Middlesbrough_F.C." TargetMode="External"/><Relationship Id="rId44" Type="http://schemas.openxmlformats.org/officeDocument/2006/relationships/hyperlink" Target="https://en.wikipedia.org/wiki/Birmingham" TargetMode="External"/><Relationship Id="rId52" Type="http://schemas.openxmlformats.org/officeDocument/2006/relationships/hyperlink" Target="https://en.wikipedia.org/wiki/Leicester" TargetMode="External"/><Relationship Id="rId60" Type="http://schemas.openxmlformats.org/officeDocument/2006/relationships/hyperlink" Target="https://en.wikipedia.org/wiki/Stoke-on-Tr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E3E5-0EE9-45C3-98CC-0EE212D54DC3}">
  <sheetPr codeName="Sheet1"/>
  <dimension ref="E4:N50"/>
  <sheetViews>
    <sheetView workbookViewId="0">
      <selection activeCell="O7" sqref="O7"/>
    </sheetView>
  </sheetViews>
  <sheetFormatPr defaultRowHeight="15" x14ac:dyDescent="0.25"/>
  <cols>
    <col min="5" max="5" width="23.42578125" customWidth="1"/>
    <col min="12" max="12" width="35.7109375" customWidth="1"/>
    <col min="14" max="14" width="11.28515625" bestFit="1" customWidth="1"/>
  </cols>
  <sheetData>
    <row r="4" spans="5:14" ht="15.75" thickBot="1" x14ac:dyDescent="0.3">
      <c r="E4" s="1" t="s">
        <v>0</v>
      </c>
    </row>
    <row r="5" spans="5:14" ht="45.75" thickBot="1" x14ac:dyDescent="0.3">
      <c r="E5" s="2" t="s">
        <v>1</v>
      </c>
      <c r="F5" s="3" t="s">
        <v>2</v>
      </c>
      <c r="G5" s="4" t="s">
        <v>3</v>
      </c>
      <c r="H5" s="5" t="s">
        <v>4</v>
      </c>
      <c r="I5" s="5" t="s">
        <v>5</v>
      </c>
      <c r="K5">
        <f>ROW(A2)-ROW(A$2)+1</f>
        <v>1</v>
      </c>
      <c r="L5" t="str">
        <f>TEXT(DATE(VALUE(MID(E5, FIND(" ", E5, FIND(" ", E5)+1)+1, 4)), MONTH(DATEVALUE(MID(E5, FIND(" ", E5)+1, 3) &amp; " 1")), LEFT(E5, FIND(" ", E5)-1)), "yyyy-mm-dd")</f>
        <v>2005-08-06</v>
      </c>
      <c r="M5">
        <v>0</v>
      </c>
      <c r="N5" s="20" t="str">
        <f>_xlfn.CONCAT("-", GetCellColor(F5), "-")</f>
        <v>-38-</v>
      </c>
    </row>
    <row r="6" spans="5:14" ht="45.75" thickBot="1" x14ac:dyDescent="0.3">
      <c r="E6" s="6" t="s">
        <v>6</v>
      </c>
      <c r="F6" s="7" t="s">
        <v>7</v>
      </c>
      <c r="G6" s="8" t="s">
        <v>8</v>
      </c>
      <c r="H6" s="9" t="s">
        <v>2</v>
      </c>
      <c r="I6" s="10" t="s">
        <v>9</v>
      </c>
      <c r="K6">
        <f t="shared" ref="K6:K50" si="0">ROW(A3)-ROW(A$2)+1</f>
        <v>2</v>
      </c>
      <c r="L6" t="str">
        <f t="shared" ref="L6:L50" si="1">TEXT(DATE(VALUE(MID(E6, FIND(" ", E6, FIND(" ", E6)+1)+1, 4)), MONTH(DATEVALUE(MID(E6, FIND(" ", E6)+1, 3) &amp; " 1")), LEFT(E6, FIND(" ", E6)-1)), "yyyy-mm-dd")</f>
        <v>2005-08-09</v>
      </c>
      <c r="M6">
        <v>3</v>
      </c>
      <c r="N6" s="20" t="str">
        <f t="shared" ref="N6:N13" si="2">_xlfn.CONCAT("-", GetCellColor($F6), "-")</f>
        <v>-35-</v>
      </c>
    </row>
    <row r="7" spans="5:14" ht="45.75" thickBot="1" x14ac:dyDescent="0.3">
      <c r="E7" s="6" t="s">
        <v>10</v>
      </c>
      <c r="F7" s="7" t="s">
        <v>11</v>
      </c>
      <c r="G7" s="8" t="s">
        <v>12</v>
      </c>
      <c r="H7" s="9" t="s">
        <v>2</v>
      </c>
      <c r="I7" s="10" t="s">
        <v>13</v>
      </c>
      <c r="K7">
        <f t="shared" si="0"/>
        <v>3</v>
      </c>
      <c r="L7" t="str">
        <f t="shared" si="1"/>
        <v>2005-08-13</v>
      </c>
      <c r="M7">
        <v>3</v>
      </c>
      <c r="N7" s="20" t="str">
        <f>_xlfn.CONCAT("-", GetCellColor($F7), "-")</f>
        <v>-35-</v>
      </c>
    </row>
    <row r="8" spans="5:14" ht="45.75" thickBot="1" x14ac:dyDescent="0.3">
      <c r="E8" s="6" t="s">
        <v>14</v>
      </c>
      <c r="F8" s="11" t="s">
        <v>2</v>
      </c>
      <c r="G8" s="8" t="s">
        <v>15</v>
      </c>
      <c r="H8" s="10" t="s">
        <v>16</v>
      </c>
      <c r="I8" s="10" t="s">
        <v>5</v>
      </c>
      <c r="K8">
        <f t="shared" si="0"/>
        <v>4</v>
      </c>
      <c r="L8" t="str">
        <f t="shared" si="1"/>
        <v>2005-08-20</v>
      </c>
      <c r="M8">
        <v>3</v>
      </c>
      <c r="N8" s="20" t="str">
        <f>_xlfn.CONCAT("-", GetCellColor($F8), "-")</f>
        <v>-35-</v>
      </c>
    </row>
    <row r="9" spans="5:14" ht="45.75" thickBot="1" x14ac:dyDescent="0.3">
      <c r="E9" s="12" t="s">
        <v>17</v>
      </c>
      <c r="F9" s="13" t="s">
        <v>18</v>
      </c>
      <c r="G9" s="14" t="s">
        <v>19</v>
      </c>
      <c r="H9" s="15" t="s">
        <v>2</v>
      </c>
      <c r="I9" s="16" t="s">
        <v>20</v>
      </c>
      <c r="K9">
        <f t="shared" si="0"/>
        <v>5</v>
      </c>
      <c r="L9" t="str">
        <f t="shared" si="1"/>
        <v>2005-08-27</v>
      </c>
      <c r="M9">
        <v>1</v>
      </c>
      <c r="N9" s="20" t="str">
        <f>_xlfn.CONCAT("-", GetCellColor($F9), "-")</f>
        <v>-19-</v>
      </c>
    </row>
    <row r="10" spans="5:14" ht="45.75" thickBot="1" x14ac:dyDescent="0.3">
      <c r="E10" s="6" t="s">
        <v>21</v>
      </c>
      <c r="F10" s="11" t="s">
        <v>2</v>
      </c>
      <c r="G10" s="8" t="s">
        <v>22</v>
      </c>
      <c r="H10" s="10" t="s">
        <v>23</v>
      </c>
      <c r="I10" s="10" t="s">
        <v>5</v>
      </c>
      <c r="K10">
        <f t="shared" si="0"/>
        <v>6</v>
      </c>
      <c r="L10" t="str">
        <f t="shared" si="1"/>
        <v>2005-08-29</v>
      </c>
      <c r="M10">
        <v>3</v>
      </c>
      <c r="N10" s="20" t="str">
        <f t="shared" si="2"/>
        <v>-35-</v>
      </c>
    </row>
    <row r="11" spans="5:14" ht="30.75" thickBot="1" x14ac:dyDescent="0.3">
      <c r="E11" s="12" t="s">
        <v>24</v>
      </c>
      <c r="F11" s="13" t="s">
        <v>25</v>
      </c>
      <c r="G11" s="14" t="s">
        <v>26</v>
      </c>
      <c r="H11" s="15" t="s">
        <v>2</v>
      </c>
      <c r="I11" s="16" t="s">
        <v>27</v>
      </c>
      <c r="K11">
        <f t="shared" si="0"/>
        <v>7</v>
      </c>
      <c r="L11" t="str">
        <f t="shared" si="1"/>
        <v>2005-09-10</v>
      </c>
      <c r="M11">
        <v>1</v>
      </c>
      <c r="N11" s="20" t="str">
        <f t="shared" si="2"/>
        <v>-19-</v>
      </c>
    </row>
    <row r="12" spans="5:14" ht="45.75" thickBot="1" x14ac:dyDescent="0.3">
      <c r="E12" s="6" t="s">
        <v>28</v>
      </c>
      <c r="F12" s="11" t="s">
        <v>2</v>
      </c>
      <c r="G12" s="8" t="s">
        <v>29</v>
      </c>
      <c r="H12" s="10" t="s">
        <v>30</v>
      </c>
      <c r="I12" s="10" t="s">
        <v>5</v>
      </c>
      <c r="K12">
        <f t="shared" si="0"/>
        <v>8</v>
      </c>
      <c r="L12" t="str">
        <f t="shared" si="1"/>
        <v>2005-09-13</v>
      </c>
      <c r="M12">
        <v>3</v>
      </c>
      <c r="N12" s="20" t="str">
        <f t="shared" si="2"/>
        <v>-35-</v>
      </c>
    </row>
    <row r="13" spans="5:14" ht="45.75" thickBot="1" x14ac:dyDescent="0.3">
      <c r="E13" s="6" t="s">
        <v>31</v>
      </c>
      <c r="F13" s="11" t="s">
        <v>2</v>
      </c>
      <c r="G13" s="8" t="s">
        <v>32</v>
      </c>
      <c r="H13" s="10" t="s">
        <v>33</v>
      </c>
      <c r="I13" s="10" t="s">
        <v>5</v>
      </c>
      <c r="K13">
        <f t="shared" si="0"/>
        <v>9</v>
      </c>
      <c r="L13" t="str">
        <f t="shared" si="1"/>
        <v>2005-09-17</v>
      </c>
      <c r="M13">
        <v>3</v>
      </c>
      <c r="N13" s="20" t="str">
        <f t="shared" si="2"/>
        <v>-35-</v>
      </c>
    </row>
    <row r="14" spans="5:14" ht="45.75" thickBot="1" x14ac:dyDescent="0.3">
      <c r="E14" s="6" t="s">
        <v>34</v>
      </c>
      <c r="F14" s="7" t="s">
        <v>35</v>
      </c>
      <c r="G14" s="8" t="s">
        <v>36</v>
      </c>
      <c r="H14" s="9" t="s">
        <v>2</v>
      </c>
      <c r="I14" s="10" t="s">
        <v>37</v>
      </c>
      <c r="K14">
        <f t="shared" si="0"/>
        <v>10</v>
      </c>
      <c r="L14" t="str">
        <f t="shared" si="1"/>
        <v>2005-09-24</v>
      </c>
      <c r="M14">
        <v>3</v>
      </c>
    </row>
    <row r="15" spans="5:14" ht="30.75" thickBot="1" x14ac:dyDescent="0.3">
      <c r="E15" s="12" t="s">
        <v>38</v>
      </c>
      <c r="F15" s="13" t="s">
        <v>39</v>
      </c>
      <c r="G15" s="14" t="s">
        <v>19</v>
      </c>
      <c r="H15" s="15" t="s">
        <v>2</v>
      </c>
      <c r="I15" s="16" t="s">
        <v>40</v>
      </c>
      <c r="K15">
        <f t="shared" si="0"/>
        <v>11</v>
      </c>
      <c r="L15" t="str">
        <f t="shared" si="1"/>
        <v>2005-09-28</v>
      </c>
      <c r="M15">
        <v>1</v>
      </c>
    </row>
    <row r="16" spans="5:14" ht="45.75" thickBot="1" x14ac:dyDescent="0.3">
      <c r="E16" s="6" t="s">
        <v>41</v>
      </c>
      <c r="F16" s="11" t="s">
        <v>2</v>
      </c>
      <c r="G16" s="8" t="s">
        <v>22</v>
      </c>
      <c r="H16" s="10" t="s">
        <v>42</v>
      </c>
      <c r="I16" s="10" t="s">
        <v>5</v>
      </c>
      <c r="K16">
        <f t="shared" si="0"/>
        <v>12</v>
      </c>
      <c r="L16" t="str">
        <f t="shared" si="1"/>
        <v>2005-10-01</v>
      </c>
      <c r="M16">
        <v>3</v>
      </c>
    </row>
    <row r="17" spans="5:13" ht="45.75" thickBot="1" x14ac:dyDescent="0.3">
      <c r="E17" s="6" t="s">
        <v>43</v>
      </c>
      <c r="F17" s="11" t="s">
        <v>2</v>
      </c>
      <c r="G17" s="8" t="s">
        <v>44</v>
      </c>
      <c r="H17" s="10" t="s">
        <v>45</v>
      </c>
      <c r="I17" s="10" t="s">
        <v>5</v>
      </c>
      <c r="K17">
        <f t="shared" si="0"/>
        <v>13</v>
      </c>
      <c r="L17" t="str">
        <f t="shared" si="1"/>
        <v>2005-10-16</v>
      </c>
      <c r="M17">
        <v>3</v>
      </c>
    </row>
    <row r="18" spans="5:13" ht="30.75" thickBot="1" x14ac:dyDescent="0.3">
      <c r="E18" s="12" t="s">
        <v>46</v>
      </c>
      <c r="F18" s="13" t="s">
        <v>47</v>
      </c>
      <c r="G18" s="14" t="s">
        <v>26</v>
      </c>
      <c r="H18" s="15" t="s">
        <v>2</v>
      </c>
      <c r="I18" s="16" t="s">
        <v>48</v>
      </c>
      <c r="K18">
        <f t="shared" si="0"/>
        <v>14</v>
      </c>
      <c r="L18" t="str">
        <f t="shared" si="1"/>
        <v>2005-10-18</v>
      </c>
      <c r="M18">
        <v>1</v>
      </c>
    </row>
    <row r="19" spans="5:13" ht="45.75" thickBot="1" x14ac:dyDescent="0.3">
      <c r="E19" s="6" t="s">
        <v>49</v>
      </c>
      <c r="F19" s="7" t="s">
        <v>50</v>
      </c>
      <c r="G19" s="8" t="s">
        <v>36</v>
      </c>
      <c r="H19" s="9" t="s">
        <v>2</v>
      </c>
      <c r="I19" s="10" t="s">
        <v>51</v>
      </c>
      <c r="K19">
        <f t="shared" si="0"/>
        <v>15</v>
      </c>
      <c r="L19" t="str">
        <f>TEXT(DATE(VALUE(MID(E19, FIND(" ", E19, FIND(" ", E19)+1)+1, 4)), MONTH(DATEVALUE(MID(E19, FIND(" ", E19)+1, 3) &amp; " 1")), LEFT(E19, FIND(" ", E19)-1)), "yyyy-mm-dd")</f>
        <v>2005-10-22</v>
      </c>
      <c r="M19">
        <v>3</v>
      </c>
    </row>
    <row r="20" spans="5:13" ht="45.75" thickBot="1" x14ac:dyDescent="0.3">
      <c r="E20" s="12" t="s">
        <v>52</v>
      </c>
      <c r="F20" s="17" t="s">
        <v>2</v>
      </c>
      <c r="G20" s="14" t="s">
        <v>26</v>
      </c>
      <c r="H20" s="16" t="s">
        <v>53</v>
      </c>
      <c r="I20" s="16" t="s">
        <v>5</v>
      </c>
      <c r="K20">
        <f t="shared" si="0"/>
        <v>16</v>
      </c>
      <c r="L20" t="str">
        <f t="shared" si="1"/>
        <v>2005-10-29</v>
      </c>
      <c r="M20">
        <v>1</v>
      </c>
    </row>
    <row r="21" spans="5:13" ht="45.75" thickBot="1" x14ac:dyDescent="0.3">
      <c r="E21" s="6" t="s">
        <v>54</v>
      </c>
      <c r="F21" s="11" t="s">
        <v>2</v>
      </c>
      <c r="G21" s="8" t="s">
        <v>44</v>
      </c>
      <c r="H21" s="10" t="s">
        <v>55</v>
      </c>
      <c r="I21" s="10" t="s">
        <v>5</v>
      </c>
      <c r="K21">
        <f t="shared" si="0"/>
        <v>17</v>
      </c>
      <c r="L21" t="str">
        <f t="shared" si="1"/>
        <v>2005-11-01</v>
      </c>
      <c r="M21">
        <v>3</v>
      </c>
    </row>
    <row r="22" spans="5:13" ht="45.75" thickBot="1" x14ac:dyDescent="0.3">
      <c r="E22" s="6" t="s">
        <v>56</v>
      </c>
      <c r="F22" s="7" t="s">
        <v>57</v>
      </c>
      <c r="G22" s="8" t="s">
        <v>3</v>
      </c>
      <c r="H22" s="9" t="s">
        <v>2</v>
      </c>
      <c r="I22" s="10" t="s">
        <v>58</v>
      </c>
      <c r="K22">
        <f t="shared" si="0"/>
        <v>18</v>
      </c>
      <c r="L22" t="str">
        <f t="shared" si="1"/>
        <v>2005-11-05</v>
      </c>
      <c r="M22">
        <v>3</v>
      </c>
    </row>
    <row r="23" spans="5:13" ht="45.75" thickBot="1" x14ac:dyDescent="0.3">
      <c r="E23" s="6" t="s">
        <v>59</v>
      </c>
      <c r="F23" s="11" t="s">
        <v>2</v>
      </c>
      <c r="G23" s="8" t="s">
        <v>60</v>
      </c>
      <c r="H23" s="10" t="s">
        <v>47</v>
      </c>
      <c r="I23" s="10" t="s">
        <v>5</v>
      </c>
      <c r="K23">
        <f t="shared" si="0"/>
        <v>19</v>
      </c>
      <c r="L23" t="str">
        <f t="shared" si="1"/>
        <v>2005-11-19</v>
      </c>
      <c r="M23">
        <v>3</v>
      </c>
    </row>
    <row r="24" spans="5:13" ht="45.75" thickBot="1" x14ac:dyDescent="0.3">
      <c r="E24" s="6" t="s">
        <v>61</v>
      </c>
      <c r="F24" s="7" t="s">
        <v>45</v>
      </c>
      <c r="G24" s="8" t="s">
        <v>12</v>
      </c>
      <c r="H24" s="9" t="s">
        <v>2</v>
      </c>
      <c r="I24" s="10" t="s">
        <v>62</v>
      </c>
      <c r="K24">
        <f t="shared" si="0"/>
        <v>20</v>
      </c>
      <c r="L24" t="str">
        <f t="shared" si="1"/>
        <v>2005-11-22</v>
      </c>
      <c r="M24">
        <v>3</v>
      </c>
    </row>
    <row r="25" spans="5:13" ht="30.75" thickBot="1" x14ac:dyDescent="0.3">
      <c r="E25" s="6" t="s">
        <v>63</v>
      </c>
      <c r="F25" s="7" t="s">
        <v>4</v>
      </c>
      <c r="G25" s="8" t="s">
        <v>8</v>
      </c>
      <c r="H25" s="9" t="s">
        <v>2</v>
      </c>
      <c r="I25" s="10" t="s">
        <v>64</v>
      </c>
      <c r="K25">
        <f t="shared" si="0"/>
        <v>21</v>
      </c>
      <c r="L25" t="str">
        <f t="shared" si="1"/>
        <v>2005-11-26</v>
      </c>
      <c r="M25">
        <v>3</v>
      </c>
    </row>
    <row r="26" spans="5:13" ht="45.75" thickBot="1" x14ac:dyDescent="0.3">
      <c r="E26" s="6" t="s">
        <v>65</v>
      </c>
      <c r="F26" s="11" t="s">
        <v>2</v>
      </c>
      <c r="G26" s="8" t="s">
        <v>66</v>
      </c>
      <c r="H26" s="10" t="s">
        <v>67</v>
      </c>
      <c r="I26" s="10" t="s">
        <v>5</v>
      </c>
      <c r="K26">
        <f t="shared" si="0"/>
        <v>22</v>
      </c>
      <c r="L26" t="str">
        <f t="shared" si="1"/>
        <v>2005-12-03</v>
      </c>
      <c r="M26">
        <v>3</v>
      </c>
    </row>
    <row r="27" spans="5:13" ht="45.75" thickBot="1" x14ac:dyDescent="0.3">
      <c r="E27" s="6" t="s">
        <v>68</v>
      </c>
      <c r="F27" s="11" t="s">
        <v>2</v>
      </c>
      <c r="G27" s="8" t="s">
        <v>69</v>
      </c>
      <c r="H27" s="10" t="s">
        <v>7</v>
      </c>
      <c r="I27" s="10" t="s">
        <v>5</v>
      </c>
      <c r="K27">
        <f t="shared" si="0"/>
        <v>23</v>
      </c>
      <c r="L27" t="str">
        <f t="shared" si="1"/>
        <v>2005-12-10</v>
      </c>
      <c r="M27">
        <v>3</v>
      </c>
    </row>
    <row r="28" spans="5:13" ht="30.75" thickBot="1" x14ac:dyDescent="0.3">
      <c r="E28" s="6" t="s">
        <v>70</v>
      </c>
      <c r="F28" s="7" t="s">
        <v>16</v>
      </c>
      <c r="G28" s="8" t="s">
        <v>8</v>
      </c>
      <c r="H28" s="9" t="s">
        <v>2</v>
      </c>
      <c r="I28" s="10" t="s">
        <v>71</v>
      </c>
      <c r="K28">
        <f t="shared" si="0"/>
        <v>24</v>
      </c>
      <c r="L28" t="str">
        <f>TEXT(DATE(VALUE(MID(E28, FIND(" ", E28, FIND(" ", E28)+1)+1, 4)), MONTH(DATEVALUE(MID(E28, FIND(" ", E28)+1, 3) &amp; " 1")), LEFT(E28, FIND(" ", E28)-1)), "yyyy-mm-dd")</f>
        <v>2005-12-17</v>
      </c>
      <c r="M28">
        <v>3</v>
      </c>
    </row>
    <row r="29" spans="5:13" ht="60.75" thickBot="1" x14ac:dyDescent="0.3">
      <c r="E29" s="6" t="s">
        <v>72</v>
      </c>
      <c r="F29" s="7" t="s">
        <v>73</v>
      </c>
      <c r="G29" s="8" t="s">
        <v>8</v>
      </c>
      <c r="H29" s="9" t="s">
        <v>2</v>
      </c>
      <c r="I29" s="10" t="s">
        <v>74</v>
      </c>
      <c r="K29">
        <f t="shared" si="0"/>
        <v>25</v>
      </c>
      <c r="L29" t="str">
        <f t="shared" si="1"/>
        <v>2005-12-26</v>
      </c>
      <c r="M29">
        <v>3</v>
      </c>
    </row>
    <row r="30" spans="5:13" ht="45.75" thickBot="1" x14ac:dyDescent="0.3">
      <c r="E30" s="6" t="s">
        <v>75</v>
      </c>
      <c r="F30" s="11" t="s">
        <v>2</v>
      </c>
      <c r="G30" s="8" t="s">
        <v>44</v>
      </c>
      <c r="H30" s="10" t="s">
        <v>76</v>
      </c>
      <c r="I30" s="10" t="s">
        <v>5</v>
      </c>
      <c r="K30">
        <f t="shared" si="0"/>
        <v>26</v>
      </c>
      <c r="L30" t="str">
        <f t="shared" si="1"/>
        <v>2005-12-28</v>
      </c>
      <c r="M30">
        <v>3</v>
      </c>
    </row>
    <row r="31" spans="5:13" ht="30.75" thickBot="1" x14ac:dyDescent="0.3">
      <c r="E31" s="12" t="s">
        <v>77</v>
      </c>
      <c r="F31" s="13" t="s">
        <v>78</v>
      </c>
      <c r="G31" s="14" t="s">
        <v>79</v>
      </c>
      <c r="H31" s="15" t="s">
        <v>2</v>
      </c>
      <c r="I31" s="16" t="s">
        <v>80</v>
      </c>
      <c r="K31">
        <f t="shared" si="0"/>
        <v>27</v>
      </c>
      <c r="L31" t="str">
        <f t="shared" si="1"/>
        <v>2005-12-31</v>
      </c>
      <c r="M31">
        <v>1</v>
      </c>
    </row>
    <row r="32" spans="5:13" ht="45.75" thickBot="1" x14ac:dyDescent="0.3">
      <c r="E32" s="6" t="s">
        <v>81</v>
      </c>
      <c r="F32" s="11" t="s">
        <v>2</v>
      </c>
      <c r="G32" s="8" t="s">
        <v>69</v>
      </c>
      <c r="H32" s="10" t="s">
        <v>82</v>
      </c>
      <c r="I32" s="10" t="s">
        <v>5</v>
      </c>
      <c r="K32">
        <f t="shared" si="0"/>
        <v>28</v>
      </c>
      <c r="L32" t="str">
        <f t="shared" si="1"/>
        <v>2006-01-02</v>
      </c>
      <c r="M32">
        <v>3</v>
      </c>
    </row>
    <row r="33" spans="5:13" ht="45.75" thickBot="1" x14ac:dyDescent="0.3">
      <c r="E33" s="6" t="s">
        <v>83</v>
      </c>
      <c r="F33" s="11" t="s">
        <v>2</v>
      </c>
      <c r="G33" s="8" t="s">
        <v>44</v>
      </c>
      <c r="H33" s="10" t="s">
        <v>25</v>
      </c>
      <c r="I33" s="10" t="s">
        <v>5</v>
      </c>
      <c r="K33">
        <f t="shared" si="0"/>
        <v>29</v>
      </c>
      <c r="L33" t="str">
        <f t="shared" si="1"/>
        <v>2006-01-14</v>
      </c>
      <c r="M33">
        <v>3</v>
      </c>
    </row>
    <row r="34" spans="5:13" ht="45.75" thickBot="1" x14ac:dyDescent="0.3">
      <c r="E34" s="12" t="s">
        <v>84</v>
      </c>
      <c r="F34" s="13" t="s">
        <v>30</v>
      </c>
      <c r="G34" s="14" t="s">
        <v>26</v>
      </c>
      <c r="H34" s="15" t="s">
        <v>2</v>
      </c>
      <c r="I34" s="16" t="s">
        <v>85</v>
      </c>
      <c r="K34">
        <f t="shared" si="0"/>
        <v>30</v>
      </c>
      <c r="L34" t="str">
        <f t="shared" si="1"/>
        <v>2006-01-20</v>
      </c>
      <c r="M34">
        <v>1</v>
      </c>
    </row>
    <row r="35" spans="5:13" ht="45.75" thickBot="1" x14ac:dyDescent="0.3">
      <c r="E35" s="6" t="s">
        <v>86</v>
      </c>
      <c r="F35" s="11" t="s">
        <v>2</v>
      </c>
      <c r="G35" s="8" t="s">
        <v>87</v>
      </c>
      <c r="H35" s="10" t="s">
        <v>35</v>
      </c>
      <c r="I35" s="10" t="s">
        <v>5</v>
      </c>
      <c r="K35">
        <f t="shared" si="0"/>
        <v>31</v>
      </c>
      <c r="L35" t="str">
        <f t="shared" si="1"/>
        <v>2006-01-31</v>
      </c>
      <c r="M35">
        <v>3</v>
      </c>
    </row>
    <row r="36" spans="5:13" ht="45.75" thickBot="1" x14ac:dyDescent="0.3">
      <c r="E36" s="6" t="s">
        <v>88</v>
      </c>
      <c r="F36" s="7" t="s">
        <v>33</v>
      </c>
      <c r="G36" s="8" t="s">
        <v>89</v>
      </c>
      <c r="H36" s="9" t="s">
        <v>2</v>
      </c>
      <c r="I36" s="10" t="s">
        <v>90</v>
      </c>
      <c r="K36">
        <f t="shared" si="0"/>
        <v>32</v>
      </c>
      <c r="L36" t="str">
        <f>TEXT(DATE(VALUE(MID(E36, FIND(" ", E36, FIND(" ", E36)+1)+1, 4)), MONTH(DATEVALUE(MID(E36, FIND(" ", E36)+1, 3) &amp; " 1")), LEFT(E36, FIND(" ", E36)-1)), "yyyy-mm-dd")</f>
        <v>2006-02-04</v>
      </c>
      <c r="M36">
        <v>3</v>
      </c>
    </row>
    <row r="37" spans="5:13" ht="45.75" thickBot="1" x14ac:dyDescent="0.3">
      <c r="E37" s="6" t="s">
        <v>91</v>
      </c>
      <c r="F37" s="11" t="s">
        <v>2</v>
      </c>
      <c r="G37" s="8" t="s">
        <v>44</v>
      </c>
      <c r="H37" s="10" t="s">
        <v>39</v>
      </c>
      <c r="I37" s="10" t="s">
        <v>5</v>
      </c>
      <c r="K37">
        <f t="shared" si="0"/>
        <v>33</v>
      </c>
      <c r="L37" t="str">
        <f t="shared" si="1"/>
        <v>2006-02-10</v>
      </c>
      <c r="M37">
        <v>3</v>
      </c>
    </row>
    <row r="38" spans="5:13" ht="45.75" thickBot="1" x14ac:dyDescent="0.3">
      <c r="E38" s="12" t="s">
        <v>92</v>
      </c>
      <c r="F38" s="13" t="s">
        <v>42</v>
      </c>
      <c r="G38" s="14" t="s">
        <v>26</v>
      </c>
      <c r="H38" s="15" t="s">
        <v>2</v>
      </c>
      <c r="I38" s="16" t="s">
        <v>93</v>
      </c>
      <c r="K38">
        <f t="shared" si="0"/>
        <v>34</v>
      </c>
      <c r="L38" t="str">
        <f t="shared" si="1"/>
        <v>2006-02-14</v>
      </c>
      <c r="M38">
        <v>1</v>
      </c>
    </row>
    <row r="39" spans="5:13" ht="45.75" thickBot="1" x14ac:dyDescent="0.3">
      <c r="E39" s="2" t="s">
        <v>94</v>
      </c>
      <c r="F39" s="18" t="s">
        <v>67</v>
      </c>
      <c r="G39" s="4" t="s">
        <v>29</v>
      </c>
      <c r="H39" s="19" t="s">
        <v>2</v>
      </c>
      <c r="I39" s="5" t="s">
        <v>95</v>
      </c>
      <c r="K39">
        <f t="shared" si="0"/>
        <v>35</v>
      </c>
      <c r="L39" t="str">
        <f t="shared" si="1"/>
        <v>2006-02-17</v>
      </c>
      <c r="M39">
        <v>0</v>
      </c>
    </row>
    <row r="40" spans="5:13" ht="45.75" thickBot="1" x14ac:dyDescent="0.3">
      <c r="E40" s="6" t="s">
        <v>96</v>
      </c>
      <c r="F40" s="11" t="s">
        <v>2</v>
      </c>
      <c r="G40" s="8" t="s">
        <v>22</v>
      </c>
      <c r="H40" s="10" t="s">
        <v>11</v>
      </c>
      <c r="I40" s="10" t="s">
        <v>5</v>
      </c>
      <c r="K40">
        <f t="shared" si="0"/>
        <v>36</v>
      </c>
      <c r="L40" t="str">
        <f t="shared" si="1"/>
        <v>2006-02-25</v>
      </c>
      <c r="M40">
        <v>3</v>
      </c>
    </row>
    <row r="41" spans="5:13" ht="30.75" thickBot="1" x14ac:dyDescent="0.3">
      <c r="E41" s="6" t="s">
        <v>97</v>
      </c>
      <c r="F41" s="7" t="s">
        <v>23</v>
      </c>
      <c r="G41" s="8" t="s">
        <v>12</v>
      </c>
      <c r="H41" s="9" t="s">
        <v>2</v>
      </c>
      <c r="I41" s="10" t="s">
        <v>98</v>
      </c>
      <c r="K41">
        <f t="shared" si="0"/>
        <v>37</v>
      </c>
      <c r="L41" t="str">
        <f t="shared" si="1"/>
        <v>2006-03-04</v>
      </c>
      <c r="M41">
        <v>3</v>
      </c>
    </row>
    <row r="42" spans="5:13" ht="45.75" thickBot="1" x14ac:dyDescent="0.3">
      <c r="E42" s="12" t="s">
        <v>99</v>
      </c>
      <c r="F42" s="17" t="s">
        <v>2</v>
      </c>
      <c r="G42" s="14" t="s">
        <v>19</v>
      </c>
      <c r="H42" s="16" t="s">
        <v>18</v>
      </c>
      <c r="I42" s="16" t="s">
        <v>5</v>
      </c>
      <c r="K42">
        <f t="shared" si="0"/>
        <v>38</v>
      </c>
      <c r="L42" t="str">
        <f t="shared" si="1"/>
        <v>2006-03-11</v>
      </c>
      <c r="M42">
        <v>1</v>
      </c>
    </row>
    <row r="43" spans="5:13" ht="60.75" thickBot="1" x14ac:dyDescent="0.3">
      <c r="E43" s="12" t="s">
        <v>100</v>
      </c>
      <c r="F43" s="17" t="s">
        <v>2</v>
      </c>
      <c r="G43" s="14" t="s">
        <v>26</v>
      </c>
      <c r="H43" s="16" t="s">
        <v>73</v>
      </c>
      <c r="I43" s="16" t="s">
        <v>5</v>
      </c>
      <c r="K43">
        <f t="shared" si="0"/>
        <v>39</v>
      </c>
      <c r="L43" t="str">
        <f t="shared" si="1"/>
        <v>2006-03-18</v>
      </c>
      <c r="M43">
        <v>1</v>
      </c>
    </row>
    <row r="44" spans="5:13" ht="45.75" thickBot="1" x14ac:dyDescent="0.3">
      <c r="E44" s="12" t="s">
        <v>101</v>
      </c>
      <c r="F44" s="13" t="s">
        <v>76</v>
      </c>
      <c r="G44" s="14" t="s">
        <v>26</v>
      </c>
      <c r="H44" s="15" t="s">
        <v>2</v>
      </c>
      <c r="I44" s="16" t="s">
        <v>102</v>
      </c>
      <c r="K44">
        <f t="shared" si="0"/>
        <v>40</v>
      </c>
      <c r="L44" t="str">
        <f t="shared" si="1"/>
        <v>2006-03-25</v>
      </c>
      <c r="M44">
        <v>1</v>
      </c>
    </row>
    <row r="45" spans="5:13" ht="45.75" thickBot="1" x14ac:dyDescent="0.3">
      <c r="E45" s="6" t="s">
        <v>103</v>
      </c>
      <c r="F45" s="11" t="s">
        <v>2</v>
      </c>
      <c r="G45" s="8" t="s">
        <v>15</v>
      </c>
      <c r="H45" s="10" t="s">
        <v>78</v>
      </c>
      <c r="I45" s="10" t="s">
        <v>5</v>
      </c>
      <c r="K45">
        <f t="shared" si="0"/>
        <v>41</v>
      </c>
      <c r="L45" t="str">
        <f>TEXT(DATE(VALUE(MID(E45, FIND(" ", E45, FIND(" ", E45)+1)+1, 4)), MONTH(DATEVALUE(MID(E45, FIND(" ", E45)+1, 3) &amp; " 1")), LEFT(E45, FIND(" ", E45)-1)), "yyyy-mm-dd")</f>
        <v>2006-04-01</v>
      </c>
      <c r="M45">
        <v>3</v>
      </c>
    </row>
    <row r="46" spans="5:13" ht="30.75" thickBot="1" x14ac:dyDescent="0.3">
      <c r="E46" s="6" t="s">
        <v>104</v>
      </c>
      <c r="F46" s="7" t="s">
        <v>82</v>
      </c>
      <c r="G46" s="8" t="s">
        <v>105</v>
      </c>
      <c r="H46" s="9" t="s">
        <v>2</v>
      </c>
      <c r="I46" s="10" t="s">
        <v>106</v>
      </c>
      <c r="K46">
        <f t="shared" si="0"/>
        <v>42</v>
      </c>
      <c r="L46" t="str">
        <f t="shared" si="1"/>
        <v>2006-04-08</v>
      </c>
      <c r="M46">
        <v>3</v>
      </c>
    </row>
    <row r="47" spans="5:13" ht="30.75" thickBot="1" x14ac:dyDescent="0.3">
      <c r="E47" s="12" t="s">
        <v>107</v>
      </c>
      <c r="F47" s="13" t="s">
        <v>53</v>
      </c>
      <c r="G47" s="14" t="s">
        <v>26</v>
      </c>
      <c r="H47" s="15" t="s">
        <v>2</v>
      </c>
      <c r="I47" s="16" t="s">
        <v>108</v>
      </c>
      <c r="K47">
        <f t="shared" si="0"/>
        <v>43</v>
      </c>
      <c r="L47" t="str">
        <f t="shared" si="1"/>
        <v>2006-04-15</v>
      </c>
      <c r="M47">
        <v>1</v>
      </c>
    </row>
    <row r="48" spans="5:13" ht="45.75" thickBot="1" x14ac:dyDescent="0.3">
      <c r="E48" s="6" t="s">
        <v>109</v>
      </c>
      <c r="F48" s="11" t="s">
        <v>2</v>
      </c>
      <c r="G48" s="8" t="s">
        <v>60</v>
      </c>
      <c r="H48" s="10" t="s">
        <v>50</v>
      </c>
      <c r="I48" s="10" t="s">
        <v>5</v>
      </c>
      <c r="K48">
        <f t="shared" si="0"/>
        <v>44</v>
      </c>
      <c r="L48" t="str">
        <f t="shared" si="1"/>
        <v>2006-04-17</v>
      </c>
      <c r="M48">
        <v>3</v>
      </c>
    </row>
    <row r="49" spans="5:13" ht="45.75" thickBot="1" x14ac:dyDescent="0.3">
      <c r="E49" s="12" t="s">
        <v>110</v>
      </c>
      <c r="F49" s="13" t="s">
        <v>55</v>
      </c>
      <c r="G49" s="14" t="s">
        <v>26</v>
      </c>
      <c r="H49" s="15" t="s">
        <v>2</v>
      </c>
      <c r="I49" s="16" t="s">
        <v>111</v>
      </c>
      <c r="K49">
        <f t="shared" si="0"/>
        <v>45</v>
      </c>
      <c r="L49" t="str">
        <f t="shared" si="1"/>
        <v>2006-04-22</v>
      </c>
      <c r="M49">
        <v>1</v>
      </c>
    </row>
    <row r="50" spans="5:13" ht="45.75" thickBot="1" x14ac:dyDescent="0.3">
      <c r="E50" s="6" t="s">
        <v>112</v>
      </c>
      <c r="F50" s="11" t="s">
        <v>2</v>
      </c>
      <c r="G50" s="8" t="s">
        <v>22</v>
      </c>
      <c r="H50" s="10" t="s">
        <v>57</v>
      </c>
      <c r="I50" s="10" t="s">
        <v>5</v>
      </c>
      <c r="K50">
        <f t="shared" si="0"/>
        <v>46</v>
      </c>
      <c r="L50" t="str">
        <f t="shared" si="1"/>
        <v>2006-04-30</v>
      </c>
      <c r="M50">
        <v>3</v>
      </c>
    </row>
  </sheetData>
  <hyperlinks>
    <hyperlink ref="E4" r:id="rId1" tooltip="Edit section: Results" display="https://en.wikipedia.org/w/index.php?title=2005%E2%80%9306_Reading_F.C._season&amp;action=edit&amp;section=20" xr:uid="{BAAF2DFE-F5A3-4B71-8BB0-430D821196ED}"/>
    <hyperlink ref="H5" r:id="rId2" tooltip="Plymouth Argyle F.C." display="https://en.wikipedia.org/wiki/Plymouth_Argyle_F.C." xr:uid="{FF3874A9-8E4F-41CB-9ECD-1DC8FB6547BB}"/>
    <hyperlink ref="I5" r:id="rId3" tooltip="Madejski Stadium" display="https://en.wikipedia.org/wiki/Madejski_Stadium" xr:uid="{6A5C6E5E-6EAA-4FC8-8B1E-F1C283293616}"/>
    <hyperlink ref="F6" r:id="rId4" tooltip="Brighton &amp; Hove Albion F.C." display="https://en.wikipedia.org/wiki/Brighton_%26_Hove_Albion_F.C." xr:uid="{71F428AC-27F5-4BB8-ACCB-CB4025308A57}"/>
    <hyperlink ref="I6" r:id="rId5" tooltip="Withdean Stadium" display="https://en.wikipedia.org/wiki/Withdean_Stadium" xr:uid="{ECD56F9C-312F-4BB0-A7C0-D1344668D890}"/>
    <hyperlink ref="F7" r:id="rId6" tooltip="Preston North End F.C." display="https://en.wikipedia.org/wiki/Preston_North_End_F.C." xr:uid="{6EF5DBDB-BFCA-48CD-99A3-BAB703456C60}"/>
    <hyperlink ref="I7" r:id="rId7" tooltip="Deepdale" display="https://en.wikipedia.org/wiki/Deepdale" xr:uid="{A69B5998-9E47-4A20-A1CE-135E8F481EAB}"/>
    <hyperlink ref="H8" r:id="rId8" tooltip="Millwall F.C." display="https://en.wikipedia.org/wiki/Millwall_F.C." xr:uid="{7FC82435-20C3-4DD8-B2A8-667B407E121B}"/>
    <hyperlink ref="I8" r:id="rId9" tooltip="Madejski Stadium" display="https://en.wikipedia.org/wiki/Madejski_Stadium" xr:uid="{F3E728DA-866D-49B6-9320-7D95BBD444FE}"/>
    <hyperlink ref="F9" r:id="rId10" tooltip="Watford F.C." display="https://en.wikipedia.org/wiki/Watford_F.C." xr:uid="{AF224494-FCCC-4250-AF60-47156EAAF94B}"/>
    <hyperlink ref="I9" r:id="rId11" tooltip="Vicarage Road" display="https://en.wikipedia.org/wiki/Vicarage_Road" xr:uid="{61D33D7B-0BCA-4EC7-B310-33C82B0EDE30}"/>
    <hyperlink ref="H10" r:id="rId12" tooltip="Burnley F.C." display="https://en.wikipedia.org/wiki/Burnley_F.C." xr:uid="{893D24BE-5D03-4620-BE29-128C6E3897C1}"/>
    <hyperlink ref="I10" r:id="rId13" tooltip="Madejski Stadium" display="https://en.wikipedia.org/wiki/Madejski_Stadium" xr:uid="{095E70DD-60BB-42FA-AF52-7A88F4455755}"/>
    <hyperlink ref="F11" r:id="rId14" tooltip="Coventry City F.C." display="https://en.wikipedia.org/wiki/Coventry_City_F.C." xr:uid="{E741C5D9-C07D-402C-A14A-37AFFC29E225}"/>
    <hyperlink ref="I11" r:id="rId15" tooltip="Ricoh Arena" display="https://en.wikipedia.org/wiki/Ricoh_Arena" xr:uid="{2BD2F30E-57C9-4510-936E-56211812FC7B}"/>
    <hyperlink ref="H12" r:id="rId16" tooltip="Crystal Palace F.C." display="https://en.wikipedia.org/wiki/Crystal_Palace_F.C." xr:uid="{32A33D5E-1472-4B41-A47B-32C7B3AC0523}"/>
    <hyperlink ref="I12" r:id="rId17" tooltip="Madejski Stadium" display="https://en.wikipedia.org/wiki/Madejski_Stadium" xr:uid="{D5CFD5AB-F20A-4231-A654-395E8DB506B4}"/>
    <hyperlink ref="H13" r:id="rId18" tooltip="Crewe Alexandra F.C." display="https://en.wikipedia.org/wiki/Crewe_Alexandra_F.C." xr:uid="{BB603274-F13E-40A8-B24C-872CAD0D50B4}"/>
    <hyperlink ref="I13" r:id="rId19" tooltip="Madejski Stadium" display="https://en.wikipedia.org/wiki/Madejski_Stadium" xr:uid="{1D5DE7B3-B3D5-4F05-9F8B-EEAF02CD9EAB}"/>
    <hyperlink ref="F14" r:id="rId20" tooltip="Norwich City F.C." display="https://en.wikipedia.org/wiki/Norwich_City_F.C." xr:uid="{E0C75B9C-50F6-45F8-8A73-522F03354B81}"/>
    <hyperlink ref="I14" r:id="rId21" tooltip="Carrow Road" display="https://en.wikipedia.org/wiki/Carrow_Road" xr:uid="{F694472F-3EEB-49BB-9DCB-726C324C096F}"/>
    <hyperlink ref="F15" r:id="rId22" tooltip="Southampton F.C." display="https://en.wikipedia.org/wiki/Southampton_F.C." xr:uid="{4B5D60AB-F902-42F5-9CE5-AE0A63E11CA0}"/>
    <hyperlink ref="I15" r:id="rId23" tooltip="St Mary's Stadium" display="https://en.wikipedia.org/wiki/St_Mary%27s_Stadium" xr:uid="{200F4F58-35D2-4576-83EA-484BA291C680}"/>
    <hyperlink ref="H16" r:id="rId24" tooltip="Sheffield United F.C." display="https://en.wikipedia.org/wiki/Sheffield_United_F.C." xr:uid="{F8CE3A5A-8040-4725-B9BE-CC1E12152C73}"/>
    <hyperlink ref="I16" r:id="rId25" tooltip="Madejski Stadium" display="https://en.wikipedia.org/wiki/Madejski_Stadium" xr:uid="{D548F121-2429-4B4E-8226-407D9C6B9D97}"/>
    <hyperlink ref="H17" r:id="rId26" tooltip="Ipswich Town F.C." display="https://en.wikipedia.org/wiki/Ipswich_Town_F.C." xr:uid="{E63FD199-2605-4153-817F-EAE09AA7F006}"/>
    <hyperlink ref="I17" r:id="rId27" tooltip="Madejski Stadium" display="https://en.wikipedia.org/wiki/Madejski_Stadium" xr:uid="{DE9BB7D6-8BA4-4760-A17F-914635A9DCC0}"/>
    <hyperlink ref="F18" r:id="rId28" tooltip="Hull City A.F.C." display="https://en.wikipedia.org/wiki/Hull_City_A.F.C." xr:uid="{E095D829-3CF9-43E7-806D-291F59AEF4CE}"/>
    <hyperlink ref="I18" r:id="rId29" tooltip="KC Stadium" display="https://en.wikipedia.org/wiki/KC_Stadium" xr:uid="{BB851DAA-BC3F-4A6E-96B6-D2B1CFC7AFF3}"/>
    <hyperlink ref="F19" r:id="rId30" tooltip="Stoke City F.C." display="https://en.wikipedia.org/wiki/Stoke_City_F.C." xr:uid="{4000C964-9B5B-4D49-A036-7B6D7E5A7FF5}"/>
    <hyperlink ref="I19" r:id="rId31" tooltip="Britannia Stadium" display="https://en.wikipedia.org/wiki/Britannia_Stadium" xr:uid="{C16AD474-73B6-4C71-858D-39EB72AA91BE}"/>
    <hyperlink ref="H20" r:id="rId32" tooltip="Leeds United F.C." display="https://en.wikipedia.org/wiki/Leeds_United_F.C." xr:uid="{855AB945-759B-4A11-A177-C8518F7C7469}"/>
    <hyperlink ref="I20" r:id="rId33" tooltip="Madejski Stadium" display="https://en.wikipedia.org/wiki/Madejski_Stadium" xr:uid="{32AF5A85-1250-481A-B9A9-41A6A5AF6988}"/>
    <hyperlink ref="H21" r:id="rId34" tooltip="Sheffield Wednesday F.C." display="https://en.wikipedia.org/wiki/Sheffield_Wednesday_F.C." xr:uid="{BC055424-2DF2-4777-85C3-388AFA417E92}"/>
    <hyperlink ref="I21" r:id="rId35" tooltip="Madejski Stadium" display="https://en.wikipedia.org/wiki/Madejski_Stadium" xr:uid="{0872330D-D487-4110-8730-1B3E3B2D7AEF}"/>
    <hyperlink ref="F22" r:id="rId36" tooltip="Queens Park Rangers F.C." display="https://en.wikipedia.org/wiki/Queens_Park_Rangers_F.C." xr:uid="{25D6A1C0-BB6A-4559-8A2F-9D4BCBFBB942}"/>
    <hyperlink ref="I22" r:id="rId37" tooltip="Loftus Road" display="https://en.wikipedia.org/wiki/Loftus_Road" xr:uid="{7165CEF4-ABA0-4970-A431-47D65A0849C5}"/>
    <hyperlink ref="H23" r:id="rId38" tooltip="Hull City A.F.C." display="https://en.wikipedia.org/wiki/Hull_City_A.F.C." xr:uid="{BF8CA838-209B-4221-B6B3-98F058D38999}"/>
    <hyperlink ref="I23" r:id="rId39" tooltip="Madejski Stadium" display="https://en.wikipedia.org/wiki/Madejski_Stadium" xr:uid="{02700E4E-0662-4B49-A9C4-9D4E2F4C5C4D}"/>
    <hyperlink ref="F24" r:id="rId40" tooltip="Ipswich Town F.C." display="https://en.wikipedia.org/wiki/Ipswich_Town_F.C." xr:uid="{52D0E1A8-37E3-414D-809E-8619CFE8C8BC}"/>
    <hyperlink ref="I24" r:id="rId41" tooltip="Portman Road" display="https://en.wikipedia.org/wiki/Portman_Road" xr:uid="{5AC23343-36A0-4D21-883B-3F8E83FFA6B3}"/>
    <hyperlink ref="F25" r:id="rId42" tooltip="Plymouth Argyle F.C." display="https://en.wikipedia.org/wiki/Plymouth_Argyle_F.C." xr:uid="{D7422E48-24C6-4766-80BA-4714DFBE7ED8}"/>
    <hyperlink ref="I25" r:id="rId43" tooltip="Home Park" display="https://en.wikipedia.org/wiki/Home_Park" xr:uid="{FF02CA65-E49B-4E87-9F48-7951BFEB5634}"/>
    <hyperlink ref="H26" r:id="rId44" tooltip="Luton Town F.C." display="https://en.wikipedia.org/wiki/Luton_Town_F.C." xr:uid="{80027B61-8B77-4C30-BEF3-0C6B9078EFAD}"/>
    <hyperlink ref="I26" r:id="rId45" tooltip="Madejski Stadium" display="https://en.wikipedia.org/wiki/Madejski_Stadium" xr:uid="{15A73194-473D-40F0-BF54-2A41CB24485B}"/>
    <hyperlink ref="H27" r:id="rId46" tooltip="Brighton &amp; Hove Albion F.C." display="https://en.wikipedia.org/wiki/Brighton_%26_Hove_Albion_F.C." xr:uid="{A8F7D61D-25D2-4D70-88DF-244FC6A2A73E}"/>
    <hyperlink ref="I27" r:id="rId47" tooltip="Madejski Stadium" display="https://en.wikipedia.org/wiki/Madejski_Stadium" xr:uid="{D7870945-34A3-4CE7-B17C-8B34237D800D}"/>
    <hyperlink ref="F28" r:id="rId48" tooltip="Millwall F.C." display="https://en.wikipedia.org/wiki/Millwall_F.C." xr:uid="{8BA9F6AD-A076-4B47-A4F9-2257977646BE}"/>
    <hyperlink ref="I28" r:id="rId49" tooltip="The Den" display="https://en.wikipedia.org/wiki/The_Den" xr:uid="{34A4991F-C4FA-480D-984D-D1E18F5DF3B3}"/>
    <hyperlink ref="F29" r:id="rId50" tooltip="Wolverhampton Wanderers F.C." display="https://en.wikipedia.org/wiki/Wolverhampton_Wanderers_F.C." xr:uid="{E628F902-D1F3-4A21-8B8F-4977DADB6FF1}"/>
    <hyperlink ref="I29" r:id="rId51" tooltip="Molineux Stadium" display="https://en.wikipedia.org/wiki/Molineux_Stadium" xr:uid="{F40F7D08-5B3F-4637-9B8E-16A0B61DFA12}"/>
    <hyperlink ref="H30" r:id="rId52" tooltip="Leicester City F.C." display="https://en.wikipedia.org/wiki/Leicester_City_F.C." xr:uid="{E9E888AC-C692-4B93-8D98-106D38C25539}"/>
    <hyperlink ref="I30" r:id="rId53" tooltip="Madejski Stadium" display="https://en.wikipedia.org/wiki/Madejski_Stadium" xr:uid="{C0725A53-87F3-43C1-B12F-7EBC9108F5D2}"/>
    <hyperlink ref="F31" r:id="rId54" tooltip="Derby County F.C." display="https://en.wikipedia.org/wiki/Derby_County_F.C." xr:uid="{DF999130-A82F-49D0-BE53-D79D905968E2}"/>
    <hyperlink ref="I31" r:id="rId55" tooltip="Pride Park" display="https://en.wikipedia.org/wiki/Pride_Park" xr:uid="{53C8D984-10CC-4A22-B56F-46019CE27736}"/>
    <hyperlink ref="H32" r:id="rId56" tooltip="Cardiff City F.C." display="https://en.wikipedia.org/wiki/Cardiff_City_F.C." xr:uid="{F3CA44CE-0212-4DC1-B863-AFA40F2CB992}"/>
    <hyperlink ref="I32" r:id="rId57" tooltip="Madejski Stadium" display="https://en.wikipedia.org/wiki/Madejski_Stadium" xr:uid="{4114C780-42AA-4593-85BB-0DCD38EBBB23}"/>
    <hyperlink ref="H33" r:id="rId58" tooltip="Coventry City F.C." display="https://en.wikipedia.org/wiki/Coventry_City_F.C." xr:uid="{56DB5D21-1A03-4953-B0E0-26541CB68C0D}"/>
    <hyperlink ref="I33" r:id="rId59" tooltip="Madejski Stadium" display="https://en.wikipedia.org/wiki/Madejski_Stadium" xr:uid="{7B447C51-D0A4-4FEE-B48B-50EF8C610755}"/>
    <hyperlink ref="F34" r:id="rId60" tooltip="Crystal Palace F.C." display="https://en.wikipedia.org/wiki/Crystal_Palace_F.C." xr:uid="{C6CC4B64-39F8-467F-AA7A-891C73B91AB2}"/>
    <hyperlink ref="I34" r:id="rId61" tooltip="Selhurst Park" display="https://en.wikipedia.org/wiki/Selhurst_Park" xr:uid="{BE50C99C-6907-463C-8B57-44F872C7D932}"/>
    <hyperlink ref="H35" r:id="rId62" tooltip="Norwich City F.C." display="https://en.wikipedia.org/wiki/Norwich_City_F.C." xr:uid="{731AA699-4931-4975-A6DD-33A6331121FC}"/>
    <hyperlink ref="I35" r:id="rId63" tooltip="Madejski Stadium" display="https://en.wikipedia.org/wiki/Madejski_Stadium" xr:uid="{4B196C6E-A197-4DB6-ADCE-8D176F8AF7AD}"/>
    <hyperlink ref="F36" r:id="rId64" tooltip="Crewe Alexandra F.C." display="https://en.wikipedia.org/wiki/Crewe_Alexandra_F.C." xr:uid="{A0F4A9DA-DDDF-4502-B951-E5E282DC3360}"/>
    <hyperlink ref="I36" r:id="rId65" tooltip="Alexandra Stadium" display="https://en.wikipedia.org/wiki/Alexandra_Stadium" xr:uid="{C916A4C6-FCC7-4075-997A-C59B7DE0A135}"/>
    <hyperlink ref="H37" r:id="rId66" tooltip="Southampton F.C." display="https://en.wikipedia.org/wiki/Southampton_F.C." xr:uid="{FC099486-173C-437A-83DF-29C7A5B8AE5D}"/>
    <hyperlink ref="I37" r:id="rId67" tooltip="Madejski Stadium" display="https://en.wikipedia.org/wiki/Madejski_Stadium" xr:uid="{999213DA-496B-4A93-A3B1-753A08A5469D}"/>
    <hyperlink ref="F38" r:id="rId68" tooltip="Sheffield United F.C." display="https://en.wikipedia.org/wiki/Sheffield_United_F.C." xr:uid="{A7144AD1-0685-4257-8710-F0DC93A1D5AF}"/>
    <hyperlink ref="I38" r:id="rId69" tooltip="Bramall Lane" display="https://en.wikipedia.org/wiki/Bramall_Lane" xr:uid="{0AB2DC6C-D82C-4E6D-80B7-231F9C64E925}"/>
    <hyperlink ref="F39" r:id="rId70" tooltip="Luton Town F.C." display="https://en.wikipedia.org/wiki/Luton_Town_F.C." xr:uid="{186099D5-4B54-4B55-91E2-2FD2BF30A292}"/>
    <hyperlink ref="I39" r:id="rId71" tooltip="Kenilworth Road" display="https://en.wikipedia.org/wiki/Kenilworth_Road" xr:uid="{8DC87F7A-F5FD-454D-B763-78E6D03390F9}"/>
    <hyperlink ref="H40" r:id="rId72" tooltip="Preston North End F.C." display="https://en.wikipedia.org/wiki/Preston_North_End_F.C." xr:uid="{82B12BA3-1E16-4D13-9F85-CF298332A8E6}"/>
    <hyperlink ref="I40" r:id="rId73" tooltip="Madejski Stadium" display="https://en.wikipedia.org/wiki/Madejski_Stadium" xr:uid="{C055B13A-7DF8-4390-BE10-EFA5CDE465EB}"/>
    <hyperlink ref="F41" r:id="rId74" tooltip="Burnley F.C." display="https://en.wikipedia.org/wiki/Burnley_F.C." xr:uid="{67E5D263-EE38-4BA8-AC03-E82C9E423423}"/>
    <hyperlink ref="I41" r:id="rId75" tooltip="Turf Moor" display="https://en.wikipedia.org/wiki/Turf_Moor" xr:uid="{6623657F-EAB3-4713-B8A7-3FC5E70895D0}"/>
    <hyperlink ref="H42" r:id="rId76" tooltip="Watford F.C." display="https://en.wikipedia.org/wiki/Watford_F.C." xr:uid="{435E0CEB-6CDA-42E1-9E68-5B3FEA1744E0}"/>
    <hyperlink ref="I42" r:id="rId77" tooltip="Madejski Stadium" display="https://en.wikipedia.org/wiki/Madejski_Stadium" xr:uid="{D7D39EE3-C8E7-44D6-95B2-5F3B3A5F05DD}"/>
    <hyperlink ref="H43" r:id="rId78" tooltip="Wolverhampton Wanderers F.C." display="https://en.wikipedia.org/wiki/Wolverhampton_Wanderers_F.C." xr:uid="{DDFF3DC6-D08F-4130-B3A7-CE39118B6AB8}"/>
    <hyperlink ref="I43" r:id="rId79" tooltip="Madejski Stadium" display="https://en.wikipedia.org/wiki/Madejski_Stadium" xr:uid="{44A30A38-784A-456B-A3BE-79259E0329D9}"/>
    <hyperlink ref="F44" r:id="rId80" tooltip="Leicester City F.C." display="https://en.wikipedia.org/wiki/Leicester_City_F.C." xr:uid="{6848F707-1266-4DC4-88E7-C5AC1768637B}"/>
    <hyperlink ref="I44" r:id="rId81" tooltip="Walkers Stadium" display="https://en.wikipedia.org/wiki/Walkers_Stadium" xr:uid="{E6D35652-D323-4F18-91DF-E783B4F5C122}"/>
    <hyperlink ref="H45" r:id="rId82" tooltip="Derby County F.C." display="https://en.wikipedia.org/wiki/Derby_County_F.C." xr:uid="{17DD02C6-9227-4ED7-8BBF-1A00AF13463D}"/>
    <hyperlink ref="I45" r:id="rId83" tooltip="Madejski Stadium" display="https://en.wikipedia.org/wiki/Madejski_Stadium" xr:uid="{864D86E9-5201-40E0-A764-67E5F06D9E9E}"/>
    <hyperlink ref="F46" r:id="rId84" tooltip="Cardiff City F.C." display="https://en.wikipedia.org/wiki/Cardiff_City_F.C." xr:uid="{D9C33B06-09BF-45E3-8A36-FF3577023479}"/>
    <hyperlink ref="I46" r:id="rId85" tooltip="Ninian Park" display="https://en.wikipedia.org/wiki/Ninian_Park" xr:uid="{E13D9858-0149-4943-BE64-9801DB2196B8}"/>
    <hyperlink ref="F47" r:id="rId86" tooltip="Leeds United F.C." display="https://en.wikipedia.org/wiki/Leeds_United_F.C." xr:uid="{858E18B6-9C19-4985-8912-5B6603635A09}"/>
    <hyperlink ref="I47" r:id="rId87" tooltip="Elland Road" display="https://en.wikipedia.org/wiki/Elland_Road" xr:uid="{E33EE043-DBBB-42D1-85C2-50C755DF8FAC}"/>
    <hyperlink ref="H48" r:id="rId88" tooltip="Stoke City F.C." display="https://en.wikipedia.org/wiki/Stoke_City_F.C." xr:uid="{519446FB-AF02-434E-A035-93AD1A53466C}"/>
    <hyperlink ref="I48" r:id="rId89" tooltip="Madejski Stadium" display="https://en.wikipedia.org/wiki/Madejski_Stadium" xr:uid="{0C82061D-192F-45F4-983C-F23A5B1D695E}"/>
    <hyperlink ref="F49" r:id="rId90" tooltip="Sheffield Wednesday F.C." display="https://en.wikipedia.org/wiki/Sheffield_Wednesday_F.C." xr:uid="{AB052F82-8F3B-4E0B-8F29-3D4B4B81D787}"/>
    <hyperlink ref="I49" r:id="rId91" tooltip="Hillsborough Stadium" display="https://en.wikipedia.org/wiki/Hillsborough_Stadium" xr:uid="{0DC3CD67-F502-426B-8954-4B64F963FAB8}"/>
    <hyperlink ref="H50" r:id="rId92" tooltip="Queens Park Rangers F.C." display="https://en.wikipedia.org/wiki/Queens_Park_Rangers_F.C." xr:uid="{5A522BA3-9B5D-4C1A-8CFB-B2ADAC7967BA}"/>
    <hyperlink ref="I50" r:id="rId93" tooltip="Madejski Stadium" display="https://en.wikipedia.org/wiki/Madejski_Stadium" xr:uid="{8DF3DF83-2FB4-43D3-90C3-3E087ACDA34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3BE29-C1CB-4C81-8EAD-9B87F01F4444}">
  <sheetPr codeName="Sheet2"/>
  <dimension ref="A1:C47"/>
  <sheetViews>
    <sheetView workbookViewId="0">
      <selection sqref="A1:C1"/>
    </sheetView>
  </sheetViews>
  <sheetFormatPr defaultRowHeight="15" x14ac:dyDescent="0.25"/>
  <cols>
    <col min="1" max="1" width="11.28515625" bestFit="1" customWidth="1"/>
  </cols>
  <sheetData>
    <row r="1" spans="1:3" x14ac:dyDescent="0.25">
      <c r="A1" t="s">
        <v>159</v>
      </c>
      <c r="B1" t="s">
        <v>160</v>
      </c>
      <c r="C1" t="s">
        <v>161</v>
      </c>
    </row>
    <row r="2" spans="1:3" x14ac:dyDescent="0.25">
      <c r="A2">
        <v>1</v>
      </c>
      <c r="B2" t="s">
        <v>113</v>
      </c>
      <c r="C2">
        <v>0</v>
      </c>
    </row>
    <row r="3" spans="1:3" x14ac:dyDescent="0.25">
      <c r="A3">
        <v>2</v>
      </c>
      <c r="B3" t="s">
        <v>114</v>
      </c>
      <c r="C3">
        <v>3</v>
      </c>
    </row>
    <row r="4" spans="1:3" x14ac:dyDescent="0.25">
      <c r="A4">
        <v>3</v>
      </c>
      <c r="B4" t="s">
        <v>115</v>
      </c>
      <c r="C4">
        <v>3</v>
      </c>
    </row>
    <row r="5" spans="1:3" x14ac:dyDescent="0.25">
      <c r="A5">
        <v>4</v>
      </c>
      <c r="B5" t="s">
        <v>116</v>
      </c>
      <c r="C5">
        <v>3</v>
      </c>
    </row>
    <row r="6" spans="1:3" x14ac:dyDescent="0.25">
      <c r="A6">
        <v>5</v>
      </c>
      <c r="B6" t="s">
        <v>117</v>
      </c>
      <c r="C6">
        <v>1</v>
      </c>
    </row>
    <row r="7" spans="1:3" x14ac:dyDescent="0.25">
      <c r="A7">
        <v>6</v>
      </c>
      <c r="B7" t="s">
        <v>118</v>
      </c>
      <c r="C7">
        <v>3</v>
      </c>
    </row>
    <row r="8" spans="1:3" x14ac:dyDescent="0.25">
      <c r="A8">
        <v>7</v>
      </c>
      <c r="B8" t="s">
        <v>119</v>
      </c>
      <c r="C8">
        <v>1</v>
      </c>
    </row>
    <row r="9" spans="1:3" x14ac:dyDescent="0.25">
      <c r="A9">
        <v>8</v>
      </c>
      <c r="B9" t="s">
        <v>120</v>
      </c>
      <c r="C9">
        <v>3</v>
      </c>
    </row>
    <row r="10" spans="1:3" x14ac:dyDescent="0.25">
      <c r="A10">
        <v>9</v>
      </c>
      <c r="B10" t="s">
        <v>121</v>
      </c>
      <c r="C10">
        <v>3</v>
      </c>
    </row>
    <row r="11" spans="1:3" x14ac:dyDescent="0.25">
      <c r="A11">
        <v>10</v>
      </c>
      <c r="B11" t="s">
        <v>122</v>
      </c>
      <c r="C11">
        <v>3</v>
      </c>
    </row>
    <row r="12" spans="1:3" x14ac:dyDescent="0.25">
      <c r="A12">
        <v>11</v>
      </c>
      <c r="B12" t="s">
        <v>123</v>
      </c>
      <c r="C12">
        <v>1</v>
      </c>
    </row>
    <row r="13" spans="1:3" x14ac:dyDescent="0.25">
      <c r="A13">
        <v>12</v>
      </c>
      <c r="B13" t="s">
        <v>124</v>
      </c>
      <c r="C13">
        <v>3</v>
      </c>
    </row>
    <row r="14" spans="1:3" x14ac:dyDescent="0.25">
      <c r="A14">
        <v>13</v>
      </c>
      <c r="B14" t="s">
        <v>125</v>
      </c>
      <c r="C14">
        <v>3</v>
      </c>
    </row>
    <row r="15" spans="1:3" x14ac:dyDescent="0.25">
      <c r="A15">
        <v>14</v>
      </c>
      <c r="B15" t="s">
        <v>126</v>
      </c>
      <c r="C15">
        <v>1</v>
      </c>
    </row>
    <row r="16" spans="1:3" x14ac:dyDescent="0.25">
      <c r="A16">
        <v>15</v>
      </c>
      <c r="B16" t="s">
        <v>127</v>
      </c>
      <c r="C16">
        <v>3</v>
      </c>
    </row>
    <row r="17" spans="1:3" x14ac:dyDescent="0.25">
      <c r="A17">
        <v>16</v>
      </c>
      <c r="B17" t="s">
        <v>128</v>
      </c>
      <c r="C17">
        <v>1</v>
      </c>
    </row>
    <row r="18" spans="1:3" x14ac:dyDescent="0.25">
      <c r="A18">
        <v>17</v>
      </c>
      <c r="B18" t="s">
        <v>129</v>
      </c>
      <c r="C18">
        <v>3</v>
      </c>
    </row>
    <row r="19" spans="1:3" x14ac:dyDescent="0.25">
      <c r="A19">
        <v>18</v>
      </c>
      <c r="B19" t="s">
        <v>130</v>
      </c>
      <c r="C19">
        <v>3</v>
      </c>
    </row>
    <row r="20" spans="1:3" x14ac:dyDescent="0.25">
      <c r="A20">
        <v>19</v>
      </c>
      <c r="B20" t="s">
        <v>131</v>
      </c>
      <c r="C20">
        <v>3</v>
      </c>
    </row>
    <row r="21" spans="1:3" x14ac:dyDescent="0.25">
      <c r="A21">
        <v>20</v>
      </c>
      <c r="B21" t="s">
        <v>132</v>
      </c>
      <c r="C21">
        <v>3</v>
      </c>
    </row>
    <row r="22" spans="1:3" x14ac:dyDescent="0.25">
      <c r="A22">
        <v>21</v>
      </c>
      <c r="B22" t="s">
        <v>133</v>
      </c>
      <c r="C22">
        <v>3</v>
      </c>
    </row>
    <row r="23" spans="1:3" x14ac:dyDescent="0.25">
      <c r="A23">
        <v>22</v>
      </c>
      <c r="B23" t="s">
        <v>134</v>
      </c>
      <c r="C23">
        <v>3</v>
      </c>
    </row>
    <row r="24" spans="1:3" x14ac:dyDescent="0.25">
      <c r="A24">
        <v>23</v>
      </c>
      <c r="B24" t="s">
        <v>135</v>
      </c>
      <c r="C24">
        <v>3</v>
      </c>
    </row>
    <row r="25" spans="1:3" x14ac:dyDescent="0.25">
      <c r="A25">
        <v>24</v>
      </c>
      <c r="B25" t="s">
        <v>136</v>
      </c>
      <c r="C25">
        <v>3</v>
      </c>
    </row>
    <row r="26" spans="1:3" x14ac:dyDescent="0.25">
      <c r="A26">
        <v>25</v>
      </c>
      <c r="B26" t="s">
        <v>137</v>
      </c>
      <c r="C26">
        <v>3</v>
      </c>
    </row>
    <row r="27" spans="1:3" x14ac:dyDescent="0.25">
      <c r="A27">
        <v>26</v>
      </c>
      <c r="B27" t="s">
        <v>138</v>
      </c>
      <c r="C27">
        <v>3</v>
      </c>
    </row>
    <row r="28" spans="1:3" x14ac:dyDescent="0.25">
      <c r="A28">
        <v>27</v>
      </c>
      <c r="B28" t="s">
        <v>139</v>
      </c>
      <c r="C28">
        <v>1</v>
      </c>
    </row>
    <row r="29" spans="1:3" x14ac:dyDescent="0.25">
      <c r="A29">
        <v>28</v>
      </c>
      <c r="B29" t="s">
        <v>140</v>
      </c>
      <c r="C29">
        <v>3</v>
      </c>
    </row>
    <row r="30" spans="1:3" x14ac:dyDescent="0.25">
      <c r="A30">
        <v>29</v>
      </c>
      <c r="B30" t="s">
        <v>141</v>
      </c>
      <c r="C30">
        <v>3</v>
      </c>
    </row>
    <row r="31" spans="1:3" x14ac:dyDescent="0.25">
      <c r="A31">
        <v>30</v>
      </c>
      <c r="B31" t="s">
        <v>142</v>
      </c>
      <c r="C31">
        <v>1</v>
      </c>
    </row>
    <row r="32" spans="1:3" x14ac:dyDescent="0.25">
      <c r="A32">
        <v>31</v>
      </c>
      <c r="B32" t="s">
        <v>143</v>
      </c>
      <c r="C32">
        <v>3</v>
      </c>
    </row>
    <row r="33" spans="1:3" x14ac:dyDescent="0.25">
      <c r="A33">
        <v>32</v>
      </c>
      <c r="B33" t="s">
        <v>144</v>
      </c>
      <c r="C33">
        <v>3</v>
      </c>
    </row>
    <row r="34" spans="1:3" x14ac:dyDescent="0.25">
      <c r="A34">
        <v>33</v>
      </c>
      <c r="B34" t="s">
        <v>145</v>
      </c>
      <c r="C34">
        <v>3</v>
      </c>
    </row>
    <row r="35" spans="1:3" x14ac:dyDescent="0.25">
      <c r="A35">
        <v>34</v>
      </c>
      <c r="B35" t="s">
        <v>146</v>
      </c>
      <c r="C35">
        <v>1</v>
      </c>
    </row>
    <row r="36" spans="1:3" x14ac:dyDescent="0.25">
      <c r="A36">
        <v>35</v>
      </c>
      <c r="B36" t="s">
        <v>147</v>
      </c>
      <c r="C36">
        <v>0</v>
      </c>
    </row>
    <row r="37" spans="1:3" x14ac:dyDescent="0.25">
      <c r="A37">
        <v>36</v>
      </c>
      <c r="B37" t="s">
        <v>148</v>
      </c>
      <c r="C37">
        <v>3</v>
      </c>
    </row>
    <row r="38" spans="1:3" x14ac:dyDescent="0.25">
      <c r="A38">
        <v>37</v>
      </c>
      <c r="B38" t="s">
        <v>149</v>
      </c>
      <c r="C38">
        <v>3</v>
      </c>
    </row>
    <row r="39" spans="1:3" x14ac:dyDescent="0.25">
      <c r="A39">
        <v>38</v>
      </c>
      <c r="B39" t="s">
        <v>150</v>
      </c>
      <c r="C39">
        <v>1</v>
      </c>
    </row>
    <row r="40" spans="1:3" x14ac:dyDescent="0.25">
      <c r="A40">
        <v>39</v>
      </c>
      <c r="B40" t="s">
        <v>151</v>
      </c>
      <c r="C40">
        <v>1</v>
      </c>
    </row>
    <row r="41" spans="1:3" x14ac:dyDescent="0.25">
      <c r="A41">
        <v>40</v>
      </c>
      <c r="B41" t="s">
        <v>152</v>
      </c>
      <c r="C41">
        <v>1</v>
      </c>
    </row>
    <row r="42" spans="1:3" x14ac:dyDescent="0.25">
      <c r="A42">
        <v>41</v>
      </c>
      <c r="B42" t="s">
        <v>153</v>
      </c>
      <c r="C42">
        <v>3</v>
      </c>
    </row>
    <row r="43" spans="1:3" x14ac:dyDescent="0.25">
      <c r="A43">
        <v>42</v>
      </c>
      <c r="B43" t="s">
        <v>154</v>
      </c>
      <c r="C43">
        <v>3</v>
      </c>
    </row>
    <row r="44" spans="1:3" x14ac:dyDescent="0.25">
      <c r="A44">
        <v>43</v>
      </c>
      <c r="B44" t="s">
        <v>155</v>
      </c>
      <c r="C44">
        <v>1</v>
      </c>
    </row>
    <row r="45" spans="1:3" x14ac:dyDescent="0.25">
      <c r="A45">
        <v>44</v>
      </c>
      <c r="B45" t="s">
        <v>156</v>
      </c>
      <c r="C45">
        <v>3</v>
      </c>
    </row>
    <row r="46" spans="1:3" x14ac:dyDescent="0.25">
      <c r="A46">
        <v>45</v>
      </c>
      <c r="B46" t="s">
        <v>157</v>
      </c>
      <c r="C46">
        <v>1</v>
      </c>
    </row>
    <row r="47" spans="1:3" x14ac:dyDescent="0.25">
      <c r="A47">
        <v>46</v>
      </c>
      <c r="B47" t="s">
        <v>158</v>
      </c>
      <c r="C47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69D0-39F2-41EE-BDF2-A20437887387}">
  <sheetPr codeName="Sheet3"/>
  <dimension ref="A1:I30"/>
  <sheetViews>
    <sheetView topLeftCell="A18" workbookViewId="0">
      <selection activeCell="G1" sqref="G1:I30"/>
    </sheetView>
  </sheetViews>
  <sheetFormatPr defaultRowHeight="15" x14ac:dyDescent="0.25"/>
  <cols>
    <col min="1" max="1" width="33.28515625" customWidth="1"/>
    <col min="8" max="8" width="21.7109375" customWidth="1"/>
  </cols>
  <sheetData>
    <row r="1" spans="1:9" ht="30.75" thickBot="1" x14ac:dyDescent="0.3">
      <c r="A1" s="21" t="s">
        <v>221</v>
      </c>
      <c r="B1" s="11" t="s">
        <v>76</v>
      </c>
      <c r="C1" s="8" t="s">
        <v>22</v>
      </c>
      <c r="D1" s="10" t="s">
        <v>25</v>
      </c>
      <c r="E1" s="10" t="s">
        <v>162</v>
      </c>
      <c r="G1">
        <f>ROW(A1)-ROW(A$1)+1</f>
        <v>1</v>
      </c>
      <c r="H1" t="str">
        <f t="shared" ref="H1:H30" si="0">TEXT(DATE(VALUE(MID(A1, FIND(" ", A1, FIND(" ", A1)+1)+1, 4)), MONTH(DATEVALUE(MID(A1, FIND(" ", A1)+1, 3) &amp; " 1")), LEFT(A1, FIND(" ", A1)-1)), "yyyy-mm-dd")</f>
        <v>2023-08-06</v>
      </c>
      <c r="I1">
        <v>3</v>
      </c>
    </row>
    <row r="2" spans="1:9" ht="45.75" thickBot="1" x14ac:dyDescent="0.3">
      <c r="A2" s="6" t="s">
        <v>163</v>
      </c>
      <c r="B2" s="7" t="s">
        <v>164</v>
      </c>
      <c r="C2" s="8" t="s">
        <v>36</v>
      </c>
      <c r="D2" s="9" t="s">
        <v>76</v>
      </c>
      <c r="E2" s="10" t="s">
        <v>165</v>
      </c>
      <c r="G2">
        <f t="shared" ref="G2:G30" si="1">ROW(A2)-ROW(A$1)+1</f>
        <v>2</v>
      </c>
      <c r="H2" t="str">
        <f t="shared" si="0"/>
        <v>2023-08-12</v>
      </c>
      <c r="I2">
        <v>3</v>
      </c>
    </row>
    <row r="3" spans="1:9" ht="30.75" thickBot="1" x14ac:dyDescent="0.3">
      <c r="A3" s="6" t="s">
        <v>166</v>
      </c>
      <c r="B3" s="11" t="s">
        <v>76</v>
      </c>
      <c r="C3" s="8" t="s">
        <v>22</v>
      </c>
      <c r="D3" s="10" t="s">
        <v>82</v>
      </c>
      <c r="E3" s="10" t="s">
        <v>162</v>
      </c>
      <c r="G3">
        <f t="shared" si="1"/>
        <v>3</v>
      </c>
      <c r="H3" t="str">
        <f t="shared" si="0"/>
        <v>2023-08-19</v>
      </c>
      <c r="I3">
        <v>3</v>
      </c>
    </row>
    <row r="4" spans="1:9" ht="30.75" thickBot="1" x14ac:dyDescent="0.3">
      <c r="A4" s="6" t="s">
        <v>167</v>
      </c>
      <c r="B4" s="7" t="s">
        <v>168</v>
      </c>
      <c r="C4" s="8" t="s">
        <v>3</v>
      </c>
      <c r="D4" s="9" t="s">
        <v>76</v>
      </c>
      <c r="E4" s="10" t="s">
        <v>169</v>
      </c>
      <c r="G4">
        <f t="shared" si="1"/>
        <v>4</v>
      </c>
      <c r="H4" t="str">
        <f t="shared" si="0"/>
        <v>2023-08-26</v>
      </c>
      <c r="I4">
        <v>3</v>
      </c>
    </row>
    <row r="5" spans="1:9" ht="30.75" thickBot="1" x14ac:dyDescent="0.3">
      <c r="A5" s="2" t="s">
        <v>170</v>
      </c>
      <c r="B5" s="3" t="s">
        <v>76</v>
      </c>
      <c r="C5" s="4" t="s">
        <v>36</v>
      </c>
      <c r="D5" s="5" t="s">
        <v>47</v>
      </c>
      <c r="E5" s="5" t="s">
        <v>162</v>
      </c>
      <c r="G5">
        <f t="shared" si="1"/>
        <v>5</v>
      </c>
      <c r="H5" t="str">
        <f t="shared" si="0"/>
        <v>2023-09-02</v>
      </c>
      <c r="I5">
        <v>0</v>
      </c>
    </row>
    <row r="6" spans="1:9" ht="45.75" thickBot="1" x14ac:dyDescent="0.3">
      <c r="A6" s="6" t="s">
        <v>171</v>
      </c>
      <c r="B6" s="7" t="s">
        <v>39</v>
      </c>
      <c r="C6" s="8" t="s">
        <v>172</v>
      </c>
      <c r="D6" s="9" t="s">
        <v>76</v>
      </c>
      <c r="E6" s="10" t="s">
        <v>173</v>
      </c>
      <c r="G6">
        <f t="shared" si="1"/>
        <v>6</v>
      </c>
      <c r="H6" t="str">
        <f t="shared" si="0"/>
        <v>2023-09-15</v>
      </c>
      <c r="I6">
        <v>3</v>
      </c>
    </row>
    <row r="7" spans="1:9" ht="30.75" thickBot="1" x14ac:dyDescent="0.3">
      <c r="A7" s="6" t="s">
        <v>174</v>
      </c>
      <c r="B7" s="7" t="s">
        <v>35</v>
      </c>
      <c r="C7" s="8" t="s">
        <v>8</v>
      </c>
      <c r="D7" s="9" t="s">
        <v>76</v>
      </c>
      <c r="E7" s="10" t="s">
        <v>175</v>
      </c>
      <c r="G7">
        <f t="shared" si="1"/>
        <v>7</v>
      </c>
      <c r="H7" t="str">
        <f t="shared" si="0"/>
        <v>2023-09-20</v>
      </c>
      <c r="I7">
        <v>3</v>
      </c>
    </row>
    <row r="8" spans="1:9" ht="30.75" thickBot="1" x14ac:dyDescent="0.3">
      <c r="A8" s="6" t="s">
        <v>176</v>
      </c>
      <c r="B8" s="11" t="s">
        <v>76</v>
      </c>
      <c r="C8" s="8" t="s">
        <v>32</v>
      </c>
      <c r="D8" s="10" t="s">
        <v>177</v>
      </c>
      <c r="E8" s="10" t="s">
        <v>162</v>
      </c>
      <c r="G8">
        <f t="shared" si="1"/>
        <v>8</v>
      </c>
      <c r="H8" t="str">
        <f t="shared" si="0"/>
        <v>2023-09-23</v>
      </c>
      <c r="I8">
        <v>3</v>
      </c>
    </row>
    <row r="9" spans="1:9" ht="30.75" thickBot="1" x14ac:dyDescent="0.3">
      <c r="A9" s="6" t="s">
        <v>178</v>
      </c>
      <c r="B9" s="7" t="s">
        <v>179</v>
      </c>
      <c r="C9" s="8" t="s">
        <v>172</v>
      </c>
      <c r="D9" s="9" t="s">
        <v>76</v>
      </c>
      <c r="E9" s="10" t="s">
        <v>180</v>
      </c>
      <c r="G9">
        <f t="shared" si="1"/>
        <v>9</v>
      </c>
      <c r="H9" t="str">
        <f t="shared" si="0"/>
        <v>2023-10-01</v>
      </c>
      <c r="I9">
        <v>3</v>
      </c>
    </row>
    <row r="10" spans="1:9" ht="45.75" thickBot="1" x14ac:dyDescent="0.3">
      <c r="A10" s="6" t="s">
        <v>181</v>
      </c>
      <c r="B10" s="11" t="s">
        <v>76</v>
      </c>
      <c r="C10" s="8" t="s">
        <v>66</v>
      </c>
      <c r="D10" s="10" t="s">
        <v>11</v>
      </c>
      <c r="E10" s="10" t="s">
        <v>162</v>
      </c>
      <c r="G10">
        <f t="shared" si="1"/>
        <v>10</v>
      </c>
      <c r="H10" t="str">
        <f t="shared" si="0"/>
        <v>2023-10-04</v>
      </c>
      <c r="I10">
        <v>3</v>
      </c>
    </row>
    <row r="11" spans="1:9" ht="30.75" thickBot="1" x14ac:dyDescent="0.3">
      <c r="A11" s="6" t="s">
        <v>182</v>
      </c>
      <c r="B11" s="11" t="s">
        <v>76</v>
      </c>
      <c r="C11" s="8" t="s">
        <v>44</v>
      </c>
      <c r="D11" s="10" t="s">
        <v>50</v>
      </c>
      <c r="E11" s="10" t="s">
        <v>162</v>
      </c>
      <c r="G11">
        <f t="shared" si="1"/>
        <v>11</v>
      </c>
      <c r="H11" t="str">
        <f t="shared" si="0"/>
        <v>2023-10-07</v>
      </c>
      <c r="I11">
        <v>3</v>
      </c>
    </row>
    <row r="12" spans="1:9" ht="30.75" thickBot="1" x14ac:dyDescent="0.3">
      <c r="A12" s="6" t="s">
        <v>183</v>
      </c>
      <c r="B12" s="7" t="s">
        <v>184</v>
      </c>
      <c r="C12" s="8" t="s">
        <v>185</v>
      </c>
      <c r="D12" s="9" t="s">
        <v>76</v>
      </c>
      <c r="E12" s="10" t="s">
        <v>186</v>
      </c>
      <c r="G12">
        <f t="shared" si="1"/>
        <v>12</v>
      </c>
      <c r="H12" t="str">
        <f t="shared" si="0"/>
        <v>2023-10-21</v>
      </c>
      <c r="I12">
        <v>3</v>
      </c>
    </row>
    <row r="13" spans="1:9" ht="30.75" thickBot="1" x14ac:dyDescent="0.3">
      <c r="A13" s="6" t="s">
        <v>187</v>
      </c>
      <c r="B13" s="11" t="s">
        <v>76</v>
      </c>
      <c r="C13" s="8" t="s">
        <v>32</v>
      </c>
      <c r="D13" s="10" t="s">
        <v>188</v>
      </c>
      <c r="E13" s="10" t="s">
        <v>162</v>
      </c>
      <c r="G13">
        <f t="shared" si="1"/>
        <v>13</v>
      </c>
      <c r="H13" t="str">
        <f t="shared" si="0"/>
        <v>2023-10-24</v>
      </c>
      <c r="I13">
        <v>3</v>
      </c>
    </row>
    <row r="14" spans="1:9" ht="45.75" thickBot="1" x14ac:dyDescent="0.3">
      <c r="A14" s="6" t="s">
        <v>189</v>
      </c>
      <c r="B14" s="7" t="s">
        <v>57</v>
      </c>
      <c r="C14" s="8" t="s">
        <v>3</v>
      </c>
      <c r="D14" s="9" t="s">
        <v>76</v>
      </c>
      <c r="E14" s="10" t="s">
        <v>190</v>
      </c>
      <c r="G14">
        <f t="shared" si="1"/>
        <v>14</v>
      </c>
      <c r="H14" t="str">
        <f t="shared" si="0"/>
        <v>2023-10-28</v>
      </c>
      <c r="I14">
        <v>3</v>
      </c>
    </row>
    <row r="15" spans="1:9" ht="30.75" thickBot="1" x14ac:dyDescent="0.3">
      <c r="A15" s="2" t="s">
        <v>191</v>
      </c>
      <c r="B15" s="3" t="s">
        <v>76</v>
      </c>
      <c r="C15" s="4" t="s">
        <v>36</v>
      </c>
      <c r="D15" s="5" t="s">
        <v>53</v>
      </c>
      <c r="E15" s="5" t="s">
        <v>162</v>
      </c>
      <c r="G15">
        <f t="shared" si="1"/>
        <v>15</v>
      </c>
      <c r="H15" t="str">
        <f t="shared" si="0"/>
        <v>2023-11-03</v>
      </c>
      <c r="I15">
        <v>0</v>
      </c>
    </row>
    <row r="16" spans="1:9" ht="45.75" thickBot="1" x14ac:dyDescent="0.3">
      <c r="A16" s="2" t="s">
        <v>192</v>
      </c>
      <c r="B16" s="18" t="s">
        <v>193</v>
      </c>
      <c r="C16" s="4" t="s">
        <v>32</v>
      </c>
      <c r="D16" s="19" t="s">
        <v>76</v>
      </c>
      <c r="E16" s="5" t="s">
        <v>194</v>
      </c>
      <c r="G16">
        <f t="shared" si="1"/>
        <v>16</v>
      </c>
      <c r="H16" t="str">
        <f t="shared" si="0"/>
        <v>2023-11-11</v>
      </c>
      <c r="I16">
        <v>0</v>
      </c>
    </row>
    <row r="17" spans="1:9" ht="30.75" thickBot="1" x14ac:dyDescent="0.3">
      <c r="A17" s="6" t="s">
        <v>195</v>
      </c>
      <c r="B17" s="11" t="s">
        <v>76</v>
      </c>
      <c r="C17" s="8" t="s">
        <v>44</v>
      </c>
      <c r="D17" s="10" t="s">
        <v>18</v>
      </c>
      <c r="E17" s="10" t="s">
        <v>162</v>
      </c>
      <c r="G17">
        <f t="shared" si="1"/>
        <v>17</v>
      </c>
      <c r="H17" t="str">
        <f t="shared" si="0"/>
        <v>2023-11-25</v>
      </c>
      <c r="I17">
        <v>3</v>
      </c>
    </row>
    <row r="18" spans="1:9" ht="45.75" thickBot="1" x14ac:dyDescent="0.3">
      <c r="A18" s="12" t="s">
        <v>196</v>
      </c>
      <c r="B18" s="13" t="s">
        <v>55</v>
      </c>
      <c r="C18" s="14" t="s">
        <v>26</v>
      </c>
      <c r="D18" s="15" t="s">
        <v>76</v>
      </c>
      <c r="E18" s="16" t="s">
        <v>197</v>
      </c>
      <c r="G18">
        <f t="shared" si="1"/>
        <v>18</v>
      </c>
      <c r="H18" t="str">
        <f t="shared" si="0"/>
        <v>2023-11-29</v>
      </c>
      <c r="I18">
        <v>1</v>
      </c>
    </row>
    <row r="19" spans="1:9" ht="60.75" thickBot="1" x14ac:dyDescent="0.3">
      <c r="A19" s="6" t="s">
        <v>198</v>
      </c>
      <c r="B19" s="7" t="s">
        <v>199</v>
      </c>
      <c r="C19" s="8" t="s">
        <v>3</v>
      </c>
      <c r="D19" s="9" t="s">
        <v>76</v>
      </c>
      <c r="E19" s="10" t="s">
        <v>200</v>
      </c>
      <c r="G19">
        <f t="shared" si="1"/>
        <v>19</v>
      </c>
      <c r="H19" t="str">
        <f t="shared" si="0"/>
        <v>2023-12-02</v>
      </c>
      <c r="I19">
        <v>3</v>
      </c>
    </row>
    <row r="20" spans="1:9" ht="30.75" thickBot="1" x14ac:dyDescent="0.3">
      <c r="A20" s="6" t="s">
        <v>201</v>
      </c>
      <c r="B20" s="11" t="s">
        <v>76</v>
      </c>
      <c r="C20" s="8" t="s">
        <v>87</v>
      </c>
      <c r="D20" s="10" t="s">
        <v>4</v>
      </c>
      <c r="E20" s="10" t="s">
        <v>162</v>
      </c>
      <c r="G20">
        <f t="shared" si="1"/>
        <v>20</v>
      </c>
      <c r="H20" t="str">
        <f t="shared" si="0"/>
        <v>2023-12-09</v>
      </c>
      <c r="I20">
        <v>3</v>
      </c>
    </row>
    <row r="21" spans="1:9" ht="30.75" thickBot="1" x14ac:dyDescent="0.3">
      <c r="A21" s="6" t="s">
        <v>202</v>
      </c>
      <c r="B21" s="11" t="s">
        <v>76</v>
      </c>
      <c r="C21" s="8" t="s">
        <v>29</v>
      </c>
      <c r="D21" s="10" t="s">
        <v>16</v>
      </c>
      <c r="E21" s="10" t="s">
        <v>162</v>
      </c>
      <c r="G21">
        <f t="shared" si="1"/>
        <v>21</v>
      </c>
      <c r="H21" t="str">
        <f t="shared" si="0"/>
        <v>2023-12-13</v>
      </c>
      <c r="I21">
        <v>3</v>
      </c>
    </row>
    <row r="22" spans="1:9" ht="45.75" thickBot="1" x14ac:dyDescent="0.3">
      <c r="A22" s="6" t="s">
        <v>203</v>
      </c>
      <c r="B22" s="7" t="s">
        <v>204</v>
      </c>
      <c r="C22" s="8" t="s">
        <v>205</v>
      </c>
      <c r="D22" s="9" t="s">
        <v>76</v>
      </c>
      <c r="E22" s="10" t="s">
        <v>206</v>
      </c>
      <c r="G22">
        <f t="shared" si="1"/>
        <v>22</v>
      </c>
      <c r="H22" t="str">
        <f t="shared" si="0"/>
        <v>2023-12-18</v>
      </c>
      <c r="I22">
        <v>3</v>
      </c>
    </row>
    <row r="23" spans="1:9" ht="30.75" thickBot="1" x14ac:dyDescent="0.3">
      <c r="A23" s="6" t="s">
        <v>207</v>
      </c>
      <c r="B23" s="11" t="s">
        <v>76</v>
      </c>
      <c r="C23" s="8" t="s">
        <v>66</v>
      </c>
      <c r="D23" s="10" t="s">
        <v>168</v>
      </c>
      <c r="E23" s="10" t="s">
        <v>162</v>
      </c>
      <c r="G23">
        <f t="shared" si="1"/>
        <v>23</v>
      </c>
      <c r="H23" t="str">
        <f t="shared" si="0"/>
        <v>2023-12-23</v>
      </c>
      <c r="I23">
        <v>3</v>
      </c>
    </row>
    <row r="24" spans="1:9" ht="30.75" thickBot="1" x14ac:dyDescent="0.3">
      <c r="A24" s="12" t="s">
        <v>208</v>
      </c>
      <c r="B24" s="13" t="s">
        <v>45</v>
      </c>
      <c r="C24" s="14" t="s">
        <v>26</v>
      </c>
      <c r="D24" s="15" t="s">
        <v>76</v>
      </c>
      <c r="E24" s="16" t="s">
        <v>209</v>
      </c>
      <c r="G24">
        <f t="shared" si="1"/>
        <v>24</v>
      </c>
      <c r="H24" t="str">
        <f t="shared" si="0"/>
        <v>2023-12-26</v>
      </c>
      <c r="I24">
        <v>1</v>
      </c>
    </row>
    <row r="25" spans="1:9" ht="30.75" thickBot="1" x14ac:dyDescent="0.3">
      <c r="A25" s="6" t="s">
        <v>210</v>
      </c>
      <c r="B25" s="7" t="s">
        <v>82</v>
      </c>
      <c r="C25" s="8" t="s">
        <v>8</v>
      </c>
      <c r="D25" s="9" t="s">
        <v>76</v>
      </c>
      <c r="E25" s="10" t="s">
        <v>211</v>
      </c>
      <c r="G25">
        <f t="shared" si="1"/>
        <v>25</v>
      </c>
      <c r="H25" t="str">
        <f t="shared" si="0"/>
        <v>2023-12-29</v>
      </c>
      <c r="I25">
        <v>3</v>
      </c>
    </row>
    <row r="26" spans="1:9" ht="45.75" thickBot="1" x14ac:dyDescent="0.3">
      <c r="A26" s="6" t="s">
        <v>212</v>
      </c>
      <c r="B26" s="11" t="s">
        <v>76</v>
      </c>
      <c r="C26" s="8" t="s">
        <v>213</v>
      </c>
      <c r="D26" s="10" t="s">
        <v>164</v>
      </c>
      <c r="E26" s="10" t="s">
        <v>162</v>
      </c>
      <c r="G26">
        <f t="shared" si="1"/>
        <v>26</v>
      </c>
      <c r="H26" t="str">
        <f t="shared" si="0"/>
        <v>2024-01-01</v>
      </c>
      <c r="I26">
        <v>3</v>
      </c>
    </row>
    <row r="27" spans="1:9" ht="30.75" thickBot="1" x14ac:dyDescent="0.3">
      <c r="A27" s="2" t="s">
        <v>214</v>
      </c>
      <c r="B27" s="18" t="s">
        <v>25</v>
      </c>
      <c r="C27" s="4" t="s">
        <v>60</v>
      </c>
      <c r="D27" s="19" t="s">
        <v>76</v>
      </c>
      <c r="E27" s="5" t="s">
        <v>215</v>
      </c>
      <c r="G27">
        <f t="shared" si="1"/>
        <v>27</v>
      </c>
      <c r="H27" t="str">
        <f t="shared" si="0"/>
        <v>2024-01-13</v>
      </c>
      <c r="I27">
        <v>0</v>
      </c>
    </row>
    <row r="28" spans="1:9" ht="30.75" thickBot="1" x14ac:dyDescent="0.3">
      <c r="A28" s="12" t="s">
        <v>216</v>
      </c>
      <c r="B28" s="17" t="s">
        <v>76</v>
      </c>
      <c r="C28" s="14" t="s">
        <v>26</v>
      </c>
      <c r="D28" s="16" t="s">
        <v>45</v>
      </c>
      <c r="E28" s="16" t="s">
        <v>162</v>
      </c>
      <c r="G28">
        <f t="shared" si="1"/>
        <v>28</v>
      </c>
      <c r="H28" t="str">
        <f t="shared" si="0"/>
        <v>2024-01-22</v>
      </c>
      <c r="I28">
        <v>1</v>
      </c>
    </row>
    <row r="29" spans="1:9" ht="30.75" thickBot="1" x14ac:dyDescent="0.3">
      <c r="A29" s="6" t="s">
        <v>217</v>
      </c>
      <c r="B29" s="11" t="s">
        <v>76</v>
      </c>
      <c r="C29" s="8" t="s">
        <v>60</v>
      </c>
      <c r="D29" s="10" t="s">
        <v>184</v>
      </c>
      <c r="E29" s="10" t="s">
        <v>162</v>
      </c>
      <c r="G29">
        <f t="shared" si="1"/>
        <v>29</v>
      </c>
      <c r="H29" t="str">
        <f t="shared" si="0"/>
        <v>2024-01-30</v>
      </c>
      <c r="I29">
        <v>3</v>
      </c>
    </row>
    <row r="30" spans="1:9" ht="45.75" thickBot="1" x14ac:dyDescent="0.3">
      <c r="A30" s="6" t="s">
        <v>218</v>
      </c>
      <c r="B30" s="7" t="s">
        <v>50</v>
      </c>
      <c r="C30" s="8" t="s">
        <v>219</v>
      </c>
      <c r="D30" s="9" t="s">
        <v>76</v>
      </c>
      <c r="E30" s="10" t="s">
        <v>220</v>
      </c>
      <c r="G30">
        <f t="shared" si="1"/>
        <v>30</v>
      </c>
      <c r="H30" t="str">
        <f t="shared" si="0"/>
        <v>2024-02-03</v>
      </c>
      <c r="I30">
        <v>3</v>
      </c>
    </row>
  </sheetData>
  <hyperlinks>
    <hyperlink ref="D1" r:id="rId1" tooltip="Coventry City F.C." display="https://en.wikipedia.org/wiki/Coventry_City_F.C." xr:uid="{59FDE5C5-1090-42FC-9969-D27E9C0D5A62}"/>
    <hyperlink ref="E1" r:id="rId2" tooltip="Leicester" display="https://en.wikipedia.org/wiki/Leicester" xr:uid="{49B988BD-4BFA-4F9E-824C-2FBF0D57EFE3}"/>
    <hyperlink ref="B2" r:id="rId3" tooltip="Huddersfield Town F.C." display="https://en.wikipedia.org/wiki/Huddersfield_Town_F.C." xr:uid="{205556FB-91E4-47F6-BF1D-4EB930B371B9}"/>
    <hyperlink ref="E2" r:id="rId4" tooltip="Huddersfield" display="https://en.wikipedia.org/wiki/Huddersfield" xr:uid="{ED6FB2A1-2406-4147-98F3-5F2BF8E78EC6}"/>
    <hyperlink ref="D3" r:id="rId5" tooltip="Cardiff City F.C." display="https://en.wikipedia.org/wiki/Cardiff_City_F.C." xr:uid="{D66E5E99-D600-43BF-91B2-185C7DE2FEE9}"/>
    <hyperlink ref="E3" r:id="rId6" tooltip="Leicester" display="https://en.wikipedia.org/wiki/Leicester" xr:uid="{CFFA0252-A2BC-486F-B4FB-E6E5581904E0}"/>
    <hyperlink ref="B4" r:id="rId7" tooltip="Rotherham United F.C." display="https://en.wikipedia.org/wiki/Rotherham_United_F.C." xr:uid="{F2F880EA-508C-4D5F-8B68-DF166CB4FC88}"/>
    <hyperlink ref="E4" r:id="rId8" tooltip="Rotherham" display="https://en.wikipedia.org/wiki/Rotherham" xr:uid="{EA2746E8-929E-47C2-BA96-E4C49EBFF489}"/>
    <hyperlink ref="D5" r:id="rId9" tooltip="Hull City F.C." display="https://en.wikipedia.org/wiki/Hull_City_F.C." xr:uid="{8BF86003-5D07-4858-AE4D-0676DF15298D}"/>
    <hyperlink ref="E5" r:id="rId10" tooltip="Leicester" display="https://en.wikipedia.org/wiki/Leicester" xr:uid="{D4435648-5DED-4217-A9DC-A4F59110456A}"/>
    <hyperlink ref="B6" r:id="rId11" tooltip="Southampton F.C." display="https://en.wikipedia.org/wiki/Southampton_F.C." xr:uid="{17CF5DA9-137F-45D6-91CD-62C40835C27C}"/>
    <hyperlink ref="E6" r:id="rId12" tooltip="Southampton" display="https://en.wikipedia.org/wiki/Southampton" xr:uid="{2E87F09F-BF25-42E2-9A5B-720F2C85A6EE}"/>
    <hyperlink ref="B7" r:id="rId13" tooltip="Norwich City F.C." display="https://en.wikipedia.org/wiki/Norwich_City_F.C." xr:uid="{56B857F2-4AFD-4113-95BE-DB7E1B48E134}"/>
    <hyperlink ref="E7" r:id="rId14" tooltip="Norwich" display="https://en.wikipedia.org/wiki/Norwich" xr:uid="{B0B19970-5D1B-4F7C-88EE-B165F12F8AA9}"/>
    <hyperlink ref="D8" r:id="rId15" tooltip="Bristol City F.C." display="https://en.wikipedia.org/wiki/Bristol_City_F.C." xr:uid="{B3E4370E-4236-4A73-9769-163E3649E32D}"/>
    <hyperlink ref="E8" r:id="rId16" tooltip="Leicester" display="https://en.wikipedia.org/wiki/Leicester" xr:uid="{E88B852F-6C54-44FE-96F9-76967E0ED4D7}"/>
    <hyperlink ref="B9" r:id="rId17" tooltip="Blackburn Rovers F.C." display="https://en.wikipedia.org/wiki/Blackburn_Rovers_F.C." xr:uid="{68F5D43F-8092-4878-90D6-401389FAC3FE}"/>
    <hyperlink ref="E9" r:id="rId18" tooltip="Blackburn" display="https://en.wikipedia.org/wiki/Blackburn" xr:uid="{D2B23B48-D9C5-4039-96F9-72AE9B392697}"/>
    <hyperlink ref="D10" r:id="rId19" tooltip="Preston North End F.C." display="https://en.wikipedia.org/wiki/Preston_North_End_F.C." xr:uid="{364E48B9-2557-4100-BEB8-D6BF12E2051D}"/>
    <hyperlink ref="E10" r:id="rId20" tooltip="Leicester" display="https://en.wikipedia.org/wiki/Leicester" xr:uid="{268E8B0D-5603-42CF-B7A7-6E1EABE10D40}"/>
    <hyperlink ref="D11" r:id="rId21" tooltip="Stoke City F.C." display="https://en.wikipedia.org/wiki/Stoke_City_F.C." xr:uid="{C679C975-4879-40DD-95E2-DEF9E27640FB}"/>
    <hyperlink ref="E11" r:id="rId22" tooltip="Leicester" display="https://en.wikipedia.org/wiki/Leicester" xr:uid="{29641689-D971-42C1-8498-2771034C56CC}"/>
    <hyperlink ref="B12" r:id="rId23" tooltip="Swansea City A.F.C." display="https://en.wikipedia.org/wiki/Swansea_City_A.F.C." xr:uid="{AD3D2094-D6F7-45B6-9518-D3E1227525AA}"/>
    <hyperlink ref="E12" r:id="rId24" tooltip="Swansea" display="https://en.wikipedia.org/wiki/Swansea" xr:uid="{60A3B386-BE76-4A1F-826D-F15AA9BBAD82}"/>
    <hyperlink ref="D13" r:id="rId25" tooltip="Sunderland A.F.C." display="https://en.wikipedia.org/wiki/Sunderland_A.F.C." xr:uid="{08891232-D1D7-41BE-AF15-DBEED67BBC9A}"/>
    <hyperlink ref="E13" r:id="rId26" tooltip="Leicester" display="https://en.wikipedia.org/wiki/Leicester" xr:uid="{7BEEFA72-F6A9-4585-8EE8-79838EAF2ED7}"/>
    <hyperlink ref="B14" r:id="rId27" tooltip="Queens Park Rangers F.C." display="https://en.wikipedia.org/wiki/Queens_Park_Rangers_F.C." xr:uid="{EA8ED8F4-2301-4CB2-828D-335500A3DB09}"/>
    <hyperlink ref="E14" r:id="rId28" tooltip="White City, London" display="https://en.wikipedia.org/wiki/White_City,_London" xr:uid="{AB0025A2-D1A0-434E-A560-9571CC3012AF}"/>
    <hyperlink ref="D15" r:id="rId29" tooltip="Leeds United F.C." display="https://en.wikipedia.org/wiki/Leeds_United_F.C." xr:uid="{84366459-89E2-447D-AE3C-A8BEB3E3CED8}"/>
    <hyperlink ref="E15" r:id="rId30" tooltip="Leicester" display="https://en.wikipedia.org/wiki/Leicester" xr:uid="{E21A18E1-4680-499A-A5DD-F9CF2C095414}"/>
    <hyperlink ref="B16" r:id="rId31" tooltip="Middlesbrough F.C." display="https://en.wikipedia.org/wiki/Middlesbrough_F.C." xr:uid="{7B23977F-644D-46CC-BE38-6F9C0A35DD87}"/>
    <hyperlink ref="E16" r:id="rId32" tooltip="Middlesbrough" display="https://en.wikipedia.org/wiki/Middlesbrough" xr:uid="{D3D554CE-1914-44E4-99C6-BF8E58CEADA7}"/>
    <hyperlink ref="D17" r:id="rId33" tooltip="Watford F.C." display="https://en.wikipedia.org/wiki/Watford_F.C." xr:uid="{BC162C8D-830A-4D85-8F11-71A8F06D0C29}"/>
    <hyperlink ref="E17" r:id="rId34" tooltip="Leicester" display="https://en.wikipedia.org/wiki/Leicester" xr:uid="{07AE9D6E-3936-44F1-875C-7FE83E7F0F9F}"/>
    <hyperlink ref="B18" r:id="rId35" tooltip="Sheffield Wednesday F.C." display="https://en.wikipedia.org/wiki/Sheffield_Wednesday_F.C." xr:uid="{9C755B66-FBBE-4316-A5FE-EC604D16B42E}"/>
    <hyperlink ref="E18" r:id="rId36" tooltip="Sheffield" display="https://en.wikipedia.org/wiki/Sheffield" xr:uid="{93C21368-2C01-47CA-B082-51D7694925B4}"/>
    <hyperlink ref="B19" r:id="rId37" tooltip="West Bromwich Albion F.C." display="https://en.wikipedia.org/wiki/West_Bromwich_Albion_F.C." xr:uid="{B7EB87A0-7F15-4362-AE9F-D65EFEF623EF}"/>
    <hyperlink ref="E19" r:id="rId38" tooltip="West Bromwich" display="https://en.wikipedia.org/wiki/West_Bromwich" xr:uid="{C62AD60B-9C4B-4C46-A2FE-C2A9609BACD1}"/>
    <hyperlink ref="D20" r:id="rId39" tooltip="Plymouth Argyle F.C." display="https://en.wikipedia.org/wiki/Plymouth_Argyle_F.C." xr:uid="{1BF90366-D0D5-4904-948F-9992E0E8C1CD}"/>
    <hyperlink ref="E20" r:id="rId40" tooltip="Leicester" display="https://en.wikipedia.org/wiki/Leicester" xr:uid="{E7296A7E-C0AA-4564-9DAC-273FEFA97D6D}"/>
    <hyperlink ref="D21" r:id="rId41" tooltip="Millwall F.C." display="https://en.wikipedia.org/wiki/Millwall_F.C." xr:uid="{09A71105-E66C-45B9-9517-7273ADC7A602}"/>
    <hyperlink ref="E21" r:id="rId42" tooltip="Leicester" display="https://en.wikipedia.org/wiki/Leicester" xr:uid="{60D42719-80DD-4B7A-AEE5-DD1716530A95}"/>
    <hyperlink ref="B22" r:id="rId43" tooltip="Birmingham City F.C." display="https://en.wikipedia.org/wiki/Birmingham_City_F.C." xr:uid="{39B209AC-79F6-4FC2-AD4A-114EC7B54710}"/>
    <hyperlink ref="E22" r:id="rId44" tooltip="Birmingham" display="https://en.wikipedia.org/wiki/Birmingham" xr:uid="{3E7E8903-1323-4C6A-93B4-9D93AA9C2DF5}"/>
    <hyperlink ref="D23" r:id="rId45" tooltip="Rotherham United F.C." display="https://en.wikipedia.org/wiki/Rotherham_United_F.C." xr:uid="{7D1BE09E-A701-4A4F-BE04-43B4C0E0DB19}"/>
    <hyperlink ref="E23" r:id="rId46" tooltip="Leicester" display="https://en.wikipedia.org/wiki/Leicester" xr:uid="{C8E53376-6624-4E6D-B0B3-1561FFE93902}"/>
    <hyperlink ref="B24" r:id="rId47" tooltip="Ipswich Town F.C." display="https://en.wikipedia.org/wiki/Ipswich_Town_F.C." xr:uid="{C2BF84F6-2759-492D-8492-4CA6125ADBDA}"/>
    <hyperlink ref="E24" r:id="rId48" tooltip="Ipswich" display="https://en.wikipedia.org/wiki/Ipswich" xr:uid="{B24573C8-FAB6-4FBD-B104-D1C4185639F5}"/>
    <hyperlink ref="B25" r:id="rId49" tooltip="Cardiff City F.C." display="https://en.wikipedia.org/wiki/Cardiff_City_F.C." xr:uid="{5BB64866-F26F-4694-B9C2-B56029C29515}"/>
    <hyperlink ref="E25" r:id="rId50" tooltip="Cardiff" display="https://en.wikipedia.org/wiki/Cardiff" xr:uid="{1A689FFA-660D-439F-A142-18C33DF894F9}"/>
    <hyperlink ref="D26" r:id="rId51" tooltip="Huddersfield Town A.F.C." display="https://en.wikipedia.org/wiki/Huddersfield_Town_A.F.C." xr:uid="{DB4E9353-5364-40A4-9B25-8FB0C00FABB2}"/>
    <hyperlink ref="E26" r:id="rId52" tooltip="Leicester" display="https://en.wikipedia.org/wiki/Leicester" xr:uid="{A8355282-E748-4917-92C3-A393D36BD8C3}"/>
    <hyperlink ref="B27" r:id="rId53" tooltip="Coventry City F.C." display="https://en.wikipedia.org/wiki/Coventry_City_F.C." xr:uid="{E7686004-25EA-40A5-AC86-2D1A1A3092C6}"/>
    <hyperlink ref="E27" r:id="rId54" tooltip="Coventry" display="https://en.wikipedia.org/wiki/Coventry" xr:uid="{962141D5-1327-40FB-9302-E4FA56632721}"/>
    <hyperlink ref="D28" r:id="rId55" tooltip="Ipswich Town F.C." display="https://en.wikipedia.org/wiki/Ipswich_Town_F.C." xr:uid="{DA988566-97E8-4C62-91B2-5405E3DDAE08}"/>
    <hyperlink ref="E28" r:id="rId56" tooltip="Leicester" display="https://en.wikipedia.org/wiki/Leicester" xr:uid="{B46F2414-66B8-4CF8-AFD3-7C074776357D}"/>
    <hyperlink ref="D29" r:id="rId57" tooltip="Swansea City A.F.C." display="https://en.wikipedia.org/wiki/Swansea_City_A.F.C." xr:uid="{5CF431F8-ED78-48C8-98F9-88B462ACAC47}"/>
    <hyperlink ref="E29" r:id="rId58" tooltip="Leicester" display="https://en.wikipedia.org/wiki/Leicester" xr:uid="{EE1417FD-3CA9-4ED1-A994-E489A2581945}"/>
    <hyperlink ref="B30" r:id="rId59" tooltip="Stoke City F.C." display="https://en.wikipedia.org/wiki/Stoke_City_F.C." xr:uid="{029454E9-40CC-4DC9-B198-0801A326D51F}"/>
    <hyperlink ref="E30" r:id="rId60" tooltip="Stoke-on-Trent" display="https://en.wikipedia.org/wiki/Stoke-on-Trent" xr:uid="{FDCB8DAA-1AFC-4377-A7CE-AAE08D13F0D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FAFC5-41A4-4E80-B162-DF5C6DA3B294}">
  <sheetPr codeName="Sheet4"/>
  <dimension ref="A1:C31"/>
  <sheetViews>
    <sheetView tabSelected="1" workbookViewId="0">
      <selection activeCell="G34" sqref="G34"/>
    </sheetView>
  </sheetViews>
  <sheetFormatPr defaultRowHeight="15" x14ac:dyDescent="0.25"/>
  <sheetData>
    <row r="1" spans="1:3" x14ac:dyDescent="0.25">
      <c r="A1" t="s">
        <v>159</v>
      </c>
      <c r="B1" t="s">
        <v>160</v>
      </c>
      <c r="C1" t="s">
        <v>161</v>
      </c>
    </row>
    <row r="2" spans="1:3" x14ac:dyDescent="0.25">
      <c r="A2">
        <v>1</v>
      </c>
      <c r="B2" t="s">
        <v>222</v>
      </c>
      <c r="C2">
        <v>3</v>
      </c>
    </row>
    <row r="3" spans="1:3" x14ac:dyDescent="0.25">
      <c r="A3">
        <v>2</v>
      </c>
      <c r="B3" t="s">
        <v>223</v>
      </c>
      <c r="C3">
        <v>3</v>
      </c>
    </row>
    <row r="4" spans="1:3" x14ac:dyDescent="0.25">
      <c r="A4">
        <v>3</v>
      </c>
      <c r="B4" t="s">
        <v>224</v>
      </c>
      <c r="C4">
        <v>3</v>
      </c>
    </row>
    <row r="5" spans="1:3" x14ac:dyDescent="0.25">
      <c r="A5">
        <v>4</v>
      </c>
      <c r="B5" t="s">
        <v>225</v>
      </c>
      <c r="C5">
        <v>3</v>
      </c>
    </row>
    <row r="6" spans="1:3" x14ac:dyDescent="0.25">
      <c r="A6">
        <v>5</v>
      </c>
      <c r="B6" t="s">
        <v>226</v>
      </c>
      <c r="C6">
        <v>0</v>
      </c>
    </row>
    <row r="7" spans="1:3" x14ac:dyDescent="0.25">
      <c r="A7">
        <v>6</v>
      </c>
      <c r="B7" t="s">
        <v>227</v>
      </c>
      <c r="C7">
        <v>3</v>
      </c>
    </row>
    <row r="8" spans="1:3" x14ac:dyDescent="0.25">
      <c r="A8">
        <v>7</v>
      </c>
      <c r="B8" t="s">
        <v>228</v>
      </c>
      <c r="C8">
        <v>3</v>
      </c>
    </row>
    <row r="9" spans="1:3" x14ac:dyDescent="0.25">
      <c r="A9">
        <v>8</v>
      </c>
      <c r="B9" t="s">
        <v>229</v>
      </c>
      <c r="C9">
        <v>3</v>
      </c>
    </row>
    <row r="10" spans="1:3" x14ac:dyDescent="0.25">
      <c r="A10">
        <v>9</v>
      </c>
      <c r="B10" t="s">
        <v>230</v>
      </c>
      <c r="C10">
        <v>3</v>
      </c>
    </row>
    <row r="11" spans="1:3" x14ac:dyDescent="0.25">
      <c r="A11">
        <v>10</v>
      </c>
      <c r="B11" t="s">
        <v>231</v>
      </c>
      <c r="C11">
        <v>3</v>
      </c>
    </row>
    <row r="12" spans="1:3" x14ac:dyDescent="0.25">
      <c r="A12">
        <v>11</v>
      </c>
      <c r="B12" t="s">
        <v>232</v>
      </c>
      <c r="C12">
        <v>3</v>
      </c>
    </row>
    <row r="13" spans="1:3" x14ac:dyDescent="0.25">
      <c r="A13">
        <v>12</v>
      </c>
      <c r="B13" t="s">
        <v>233</v>
      </c>
      <c r="C13">
        <v>3</v>
      </c>
    </row>
    <row r="14" spans="1:3" x14ac:dyDescent="0.25">
      <c r="A14">
        <v>13</v>
      </c>
      <c r="B14" t="s">
        <v>234</v>
      </c>
      <c r="C14">
        <v>3</v>
      </c>
    </row>
    <row r="15" spans="1:3" x14ac:dyDescent="0.25">
      <c r="A15">
        <v>14</v>
      </c>
      <c r="B15" t="s">
        <v>235</v>
      </c>
      <c r="C15">
        <v>3</v>
      </c>
    </row>
    <row r="16" spans="1:3" x14ac:dyDescent="0.25">
      <c r="A16">
        <v>15</v>
      </c>
      <c r="B16" t="s">
        <v>236</v>
      </c>
      <c r="C16">
        <v>0</v>
      </c>
    </row>
    <row r="17" spans="1:3" x14ac:dyDescent="0.25">
      <c r="A17">
        <v>16</v>
      </c>
      <c r="B17" t="s">
        <v>237</v>
      </c>
      <c r="C17">
        <v>0</v>
      </c>
    </row>
    <row r="18" spans="1:3" x14ac:dyDescent="0.25">
      <c r="A18">
        <v>17</v>
      </c>
      <c r="B18" t="s">
        <v>238</v>
      </c>
      <c r="C18">
        <v>3</v>
      </c>
    </row>
    <row r="19" spans="1:3" x14ac:dyDescent="0.25">
      <c r="A19">
        <v>18</v>
      </c>
      <c r="B19" t="s">
        <v>239</v>
      </c>
      <c r="C19">
        <v>1</v>
      </c>
    </row>
    <row r="20" spans="1:3" x14ac:dyDescent="0.25">
      <c r="A20">
        <v>19</v>
      </c>
      <c r="B20" t="s">
        <v>240</v>
      </c>
      <c r="C20">
        <v>3</v>
      </c>
    </row>
    <row r="21" spans="1:3" x14ac:dyDescent="0.25">
      <c r="A21">
        <v>20</v>
      </c>
      <c r="B21" t="s">
        <v>241</v>
      </c>
      <c r="C21">
        <v>3</v>
      </c>
    </row>
    <row r="22" spans="1:3" x14ac:dyDescent="0.25">
      <c r="A22">
        <v>21</v>
      </c>
      <c r="B22" t="s">
        <v>242</v>
      </c>
      <c r="C22">
        <v>3</v>
      </c>
    </row>
    <row r="23" spans="1:3" x14ac:dyDescent="0.25">
      <c r="A23">
        <v>22</v>
      </c>
      <c r="B23" t="s">
        <v>243</v>
      </c>
      <c r="C23">
        <v>3</v>
      </c>
    </row>
    <row r="24" spans="1:3" x14ac:dyDescent="0.25">
      <c r="A24">
        <v>23</v>
      </c>
      <c r="B24" t="s">
        <v>244</v>
      </c>
      <c r="C24">
        <v>3</v>
      </c>
    </row>
    <row r="25" spans="1:3" x14ac:dyDescent="0.25">
      <c r="A25">
        <v>24</v>
      </c>
      <c r="B25" t="s">
        <v>245</v>
      </c>
      <c r="C25">
        <v>1</v>
      </c>
    </row>
    <row r="26" spans="1:3" x14ac:dyDescent="0.25">
      <c r="A26">
        <v>25</v>
      </c>
      <c r="B26" t="s">
        <v>246</v>
      </c>
      <c r="C26">
        <v>3</v>
      </c>
    </row>
    <row r="27" spans="1:3" x14ac:dyDescent="0.25">
      <c r="A27">
        <v>26</v>
      </c>
      <c r="B27" t="s">
        <v>247</v>
      </c>
      <c r="C27">
        <v>3</v>
      </c>
    </row>
    <row r="28" spans="1:3" x14ac:dyDescent="0.25">
      <c r="A28">
        <v>27</v>
      </c>
      <c r="B28" t="s">
        <v>248</v>
      </c>
      <c r="C28">
        <v>0</v>
      </c>
    </row>
    <row r="29" spans="1:3" x14ac:dyDescent="0.25">
      <c r="A29">
        <v>28</v>
      </c>
      <c r="B29" t="s">
        <v>249</v>
      </c>
      <c r="C29">
        <v>1</v>
      </c>
    </row>
    <row r="30" spans="1:3" x14ac:dyDescent="0.25">
      <c r="A30">
        <v>29</v>
      </c>
      <c r="B30" t="s">
        <v>250</v>
      </c>
      <c r="C30">
        <v>3</v>
      </c>
    </row>
    <row r="31" spans="1:3" x14ac:dyDescent="0.25">
      <c r="A31">
        <v>30</v>
      </c>
      <c r="B31" t="s">
        <v>251</v>
      </c>
      <c r="C3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Reading Raw Data</vt:lpstr>
      <vt:lpstr>Reading Results Clean</vt:lpstr>
      <vt:lpstr>Leicester Raw Data</vt:lpstr>
      <vt:lpstr>Leicester Results Clean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Edward</dc:creator>
  <cp:lastModifiedBy>Mark Edward</cp:lastModifiedBy>
  <dcterms:created xsi:type="dcterms:W3CDTF">2024-02-10T15:25:57Z</dcterms:created>
  <dcterms:modified xsi:type="dcterms:W3CDTF">2024-02-10T16:07:10Z</dcterms:modified>
</cp:coreProperties>
</file>